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flah\Downloads\"/>
    </mc:Choice>
  </mc:AlternateContent>
  <xr:revisionPtr revIDLastSave="0" documentId="13_ncr:1_{59C006DD-F916-4133-9844-3BC63793A3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latan" sheetId="1" r:id="rId1"/>
    <sheet name="Utara" sheetId="2" r:id="rId2"/>
    <sheet name="Skenario 2" sheetId="7" r:id="rId3"/>
    <sheet name="Banguna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6" l="1"/>
  <c r="O27" i="6"/>
  <c r="J27" i="6"/>
  <c r="P26" i="6"/>
  <c r="O26" i="6"/>
  <c r="J26" i="6"/>
  <c r="P25" i="6"/>
  <c r="O25" i="6"/>
  <c r="J25" i="6"/>
  <c r="P24" i="6"/>
  <c r="O24" i="6"/>
  <c r="J24" i="6"/>
  <c r="P23" i="6"/>
  <c r="O23" i="6"/>
  <c r="J23" i="6"/>
  <c r="P22" i="6"/>
  <c r="O22" i="6"/>
  <c r="J22" i="6"/>
  <c r="P21" i="6"/>
  <c r="O21" i="6"/>
  <c r="J21" i="6"/>
  <c r="P20" i="6"/>
  <c r="O20" i="6"/>
  <c r="J20" i="6"/>
  <c r="P19" i="6"/>
  <c r="O19" i="6"/>
  <c r="J19" i="6"/>
  <c r="P18" i="6"/>
  <c r="O18" i="6"/>
  <c r="J18" i="6"/>
  <c r="P17" i="6"/>
  <c r="O17" i="6"/>
  <c r="J17" i="6"/>
  <c r="P16" i="6"/>
  <c r="O16" i="6"/>
  <c r="J16" i="6"/>
  <c r="P15" i="6"/>
  <c r="O15" i="6"/>
  <c r="J15" i="6"/>
  <c r="P14" i="6"/>
  <c r="O14" i="6"/>
  <c r="J14" i="6"/>
  <c r="P13" i="6"/>
  <c r="O13" i="6"/>
  <c r="J13" i="6"/>
  <c r="P12" i="6"/>
  <c r="O12" i="6"/>
  <c r="J12" i="6"/>
  <c r="P11" i="6"/>
  <c r="O11" i="6"/>
  <c r="J11" i="6"/>
  <c r="P10" i="6"/>
  <c r="O10" i="6"/>
  <c r="J10" i="6"/>
  <c r="P9" i="6"/>
  <c r="O9" i="6"/>
  <c r="J9" i="6"/>
  <c r="P8" i="6"/>
  <c r="O8" i="6"/>
  <c r="J8" i="6"/>
  <c r="P7" i="6"/>
  <c r="O7" i="6"/>
  <c r="J7" i="6"/>
  <c r="P6" i="6"/>
  <c r="O6" i="6"/>
  <c r="J6" i="6"/>
  <c r="P5" i="6"/>
  <c r="O5" i="6"/>
  <c r="J5" i="6"/>
  <c r="P4" i="6"/>
  <c r="O4" i="6"/>
  <c r="J4" i="6"/>
  <c r="P3" i="6"/>
  <c r="O3" i="6"/>
  <c r="J3" i="6"/>
  <c r="P2" i="6"/>
  <c r="O2" i="6"/>
  <c r="J2" i="6"/>
  <c r="R59" i="2"/>
  <c r="Q59" i="2"/>
  <c r="L59" i="2"/>
  <c r="R58" i="2"/>
  <c r="Q58" i="2"/>
  <c r="L58" i="2"/>
  <c r="R57" i="2"/>
  <c r="Q57" i="2"/>
  <c r="L57" i="2"/>
  <c r="R56" i="2"/>
  <c r="Q56" i="2"/>
  <c r="L56" i="2"/>
  <c r="R55" i="2"/>
  <c r="Q55" i="2"/>
  <c r="L55" i="2"/>
  <c r="R54" i="2"/>
  <c r="Q54" i="2"/>
  <c r="L54" i="2"/>
  <c r="R53" i="2"/>
  <c r="Q53" i="2"/>
  <c r="L53" i="2"/>
  <c r="R52" i="2"/>
  <c r="Q52" i="2"/>
  <c r="L52" i="2"/>
  <c r="R51" i="2"/>
  <c r="Q51" i="2"/>
  <c r="L51" i="2"/>
  <c r="R50" i="2"/>
  <c r="Q50" i="2"/>
  <c r="L50" i="2"/>
  <c r="R49" i="2"/>
  <c r="Q49" i="2"/>
  <c r="L49" i="2"/>
  <c r="R48" i="2"/>
  <c r="Q48" i="2"/>
  <c r="L48" i="2"/>
  <c r="R47" i="2"/>
  <c r="Q47" i="2"/>
  <c r="L47" i="2"/>
  <c r="R46" i="2"/>
  <c r="Q46" i="2"/>
  <c r="L46" i="2"/>
  <c r="R45" i="2"/>
  <c r="Q45" i="2"/>
  <c r="L45" i="2"/>
  <c r="R44" i="2"/>
  <c r="Q44" i="2"/>
  <c r="L44" i="2"/>
  <c r="R43" i="2"/>
  <c r="Q43" i="2"/>
  <c r="L43" i="2"/>
  <c r="R42" i="2"/>
  <c r="Q42" i="2"/>
  <c r="L42" i="2"/>
  <c r="R41" i="2"/>
  <c r="Q41" i="2"/>
  <c r="L41" i="2"/>
  <c r="R40" i="2"/>
  <c r="Q40" i="2"/>
  <c r="L40" i="2"/>
  <c r="R39" i="2"/>
  <c r="Q39" i="2"/>
  <c r="L39" i="2"/>
  <c r="R38" i="2"/>
  <c r="Q38" i="2"/>
  <c r="L38" i="2"/>
  <c r="R37" i="2"/>
  <c r="Q37" i="2"/>
  <c r="L37" i="2"/>
  <c r="R36" i="2"/>
  <c r="Q36" i="2"/>
  <c r="L36" i="2"/>
  <c r="R35" i="2"/>
  <c r="Q35" i="2"/>
  <c r="L35" i="2"/>
  <c r="R34" i="2"/>
  <c r="Q34" i="2"/>
  <c r="L34" i="2"/>
  <c r="R33" i="2"/>
  <c r="Q33" i="2"/>
  <c r="L33" i="2"/>
  <c r="R32" i="2"/>
  <c r="Q32" i="2"/>
  <c r="L32" i="2"/>
  <c r="R31" i="2"/>
  <c r="Q31" i="2"/>
  <c r="L31" i="2"/>
  <c r="R30" i="2"/>
  <c r="Q30" i="2"/>
  <c r="L30" i="2"/>
  <c r="R29" i="2"/>
  <c r="Q29" i="2"/>
  <c r="L29" i="2"/>
  <c r="R28" i="2"/>
  <c r="Q28" i="2"/>
  <c r="L28" i="2"/>
  <c r="R27" i="2"/>
  <c r="Q27" i="2"/>
  <c r="L27" i="2"/>
  <c r="R26" i="2"/>
  <c r="Q26" i="2"/>
  <c r="L26" i="2"/>
  <c r="R25" i="2"/>
  <c r="Q25" i="2"/>
  <c r="L25" i="2"/>
  <c r="R24" i="2"/>
  <c r="Q24" i="2"/>
  <c r="L24" i="2"/>
  <c r="R23" i="2"/>
  <c r="Q23" i="2"/>
  <c r="L23" i="2"/>
  <c r="R22" i="2"/>
  <c r="Q22" i="2"/>
  <c r="L22" i="2"/>
  <c r="R21" i="2"/>
  <c r="Q21" i="2"/>
  <c r="L21" i="2"/>
  <c r="R20" i="2"/>
  <c r="Q20" i="2"/>
  <c r="L20" i="2"/>
  <c r="R19" i="2"/>
  <c r="Q19" i="2"/>
  <c r="L19" i="2"/>
  <c r="R18" i="2"/>
  <c r="Q18" i="2"/>
  <c r="L18" i="2"/>
  <c r="R17" i="2"/>
  <c r="Q17" i="2"/>
  <c r="L17" i="2"/>
  <c r="R16" i="2"/>
  <c r="Q16" i="2"/>
  <c r="L16" i="2"/>
  <c r="R15" i="2"/>
  <c r="Q15" i="2"/>
  <c r="L15" i="2"/>
  <c r="R14" i="2"/>
  <c r="Q14" i="2"/>
  <c r="L14" i="2"/>
  <c r="R13" i="2"/>
  <c r="Q13" i="2"/>
  <c r="L13" i="2"/>
  <c r="R12" i="2"/>
  <c r="Q12" i="2"/>
  <c r="L12" i="2"/>
  <c r="R11" i="2"/>
  <c r="Q11" i="2"/>
  <c r="L11" i="2"/>
  <c r="R10" i="2"/>
  <c r="Q10" i="2"/>
  <c r="L10" i="2"/>
  <c r="R9" i="2"/>
  <c r="Q9" i="2"/>
  <c r="L9" i="2"/>
  <c r="R8" i="2"/>
  <c r="Q8" i="2"/>
  <c r="L8" i="2"/>
  <c r="R7" i="2"/>
  <c r="Q7" i="2"/>
  <c r="L7" i="2"/>
  <c r="R6" i="2"/>
  <c r="Q6" i="2"/>
  <c r="L6" i="2"/>
  <c r="R5" i="2"/>
  <c r="Q5" i="2"/>
  <c r="L5" i="2"/>
  <c r="R4" i="2"/>
  <c r="Q4" i="2"/>
  <c r="L4" i="2"/>
  <c r="R3" i="2"/>
  <c r="Q3" i="2"/>
  <c r="L3" i="2"/>
  <c r="R2" i="2"/>
  <c r="Q2" i="2"/>
  <c r="L2" i="2"/>
  <c r="R59" i="1"/>
  <c r="Q59" i="1"/>
  <c r="L59" i="1"/>
  <c r="R58" i="1"/>
  <c r="Q58" i="1"/>
  <c r="L58" i="1"/>
  <c r="R57" i="1"/>
  <c r="Q57" i="1"/>
  <c r="L57" i="1"/>
  <c r="R56" i="1"/>
  <c r="Q56" i="1"/>
  <c r="L56" i="1"/>
  <c r="R55" i="1"/>
  <c r="Q55" i="1"/>
  <c r="L55" i="1"/>
  <c r="R54" i="1"/>
  <c r="Q54" i="1"/>
  <c r="L54" i="1"/>
  <c r="R53" i="1"/>
  <c r="Q53" i="1"/>
  <c r="L53" i="1"/>
  <c r="R52" i="1"/>
  <c r="Q52" i="1"/>
  <c r="L52" i="1"/>
  <c r="R51" i="1"/>
  <c r="Q51" i="1"/>
  <c r="L51" i="1"/>
  <c r="R50" i="1"/>
  <c r="Q50" i="1"/>
  <c r="L50" i="1"/>
  <c r="R49" i="1"/>
  <c r="Q49" i="1"/>
  <c r="L49" i="1"/>
  <c r="R48" i="1"/>
  <c r="Q48" i="1"/>
  <c r="L48" i="1"/>
  <c r="R47" i="1"/>
  <c r="Q47" i="1"/>
  <c r="L47" i="1"/>
  <c r="R46" i="1"/>
  <c r="Q46" i="1"/>
  <c r="L46" i="1"/>
  <c r="R45" i="1"/>
  <c r="Q45" i="1"/>
  <c r="L45" i="1"/>
  <c r="R44" i="1"/>
  <c r="Q44" i="1"/>
  <c r="L44" i="1"/>
  <c r="R43" i="1"/>
  <c r="Q43" i="1"/>
  <c r="L43" i="1"/>
  <c r="R42" i="1"/>
  <c r="Q42" i="1"/>
  <c r="L42" i="1"/>
  <c r="R41" i="1"/>
  <c r="Q41" i="1"/>
  <c r="L41" i="1"/>
  <c r="R40" i="1"/>
  <c r="Q40" i="1"/>
  <c r="L40" i="1"/>
  <c r="R39" i="1"/>
  <c r="Q39" i="1"/>
  <c r="L39" i="1"/>
  <c r="R38" i="1"/>
  <c r="Q38" i="1"/>
  <c r="L38" i="1"/>
  <c r="R37" i="1"/>
  <c r="Q37" i="1"/>
  <c r="L37" i="1"/>
  <c r="R36" i="1"/>
  <c r="Q36" i="1"/>
  <c r="L36" i="1"/>
  <c r="R35" i="1"/>
  <c r="Q35" i="1"/>
  <c r="L35" i="1"/>
  <c r="R34" i="1"/>
  <c r="Q34" i="1"/>
  <c r="L34" i="1"/>
  <c r="R33" i="1"/>
  <c r="Q33" i="1"/>
  <c r="L33" i="1"/>
  <c r="R32" i="1"/>
  <c r="Q32" i="1"/>
  <c r="L32" i="1"/>
  <c r="R31" i="1"/>
  <c r="Q31" i="1"/>
  <c r="L31" i="1"/>
  <c r="R30" i="1"/>
  <c r="Q30" i="1"/>
  <c r="L30" i="1"/>
  <c r="R29" i="1"/>
  <c r="Q29" i="1"/>
  <c r="L29" i="1"/>
  <c r="R28" i="1"/>
  <c r="Q28" i="1"/>
  <c r="L28" i="1"/>
  <c r="R27" i="1"/>
  <c r="Q27" i="1"/>
  <c r="L27" i="1"/>
  <c r="R26" i="1"/>
  <c r="Q26" i="1"/>
  <c r="L26" i="1"/>
  <c r="R25" i="1"/>
  <c r="Q25" i="1"/>
  <c r="L25" i="1"/>
  <c r="R24" i="1"/>
  <c r="Q24" i="1"/>
  <c r="L24" i="1"/>
  <c r="R23" i="1"/>
  <c r="Q23" i="1"/>
  <c r="L23" i="1"/>
  <c r="R22" i="1"/>
  <c r="Q22" i="1"/>
  <c r="L22" i="1"/>
  <c r="R21" i="1"/>
  <c r="Q21" i="1"/>
  <c r="L21" i="1"/>
  <c r="R20" i="1"/>
  <c r="Q20" i="1"/>
  <c r="L20" i="1"/>
  <c r="R19" i="1"/>
  <c r="Q19" i="1"/>
  <c r="L19" i="1"/>
  <c r="R18" i="1"/>
  <c r="Q18" i="1"/>
  <c r="L18" i="1"/>
  <c r="R17" i="1"/>
  <c r="Q17" i="1"/>
  <c r="L17" i="1"/>
  <c r="R16" i="1"/>
  <c r="Q16" i="1"/>
  <c r="L16" i="1"/>
  <c r="R15" i="1"/>
  <c r="Q15" i="1"/>
  <c r="L15" i="1"/>
  <c r="R14" i="1"/>
  <c r="Q14" i="1"/>
  <c r="L14" i="1"/>
  <c r="R13" i="1"/>
  <c r="Q13" i="1"/>
  <c r="L13" i="1"/>
  <c r="R12" i="1"/>
  <c r="Q12" i="1"/>
  <c r="L12" i="1"/>
  <c r="R11" i="1"/>
  <c r="Q11" i="1"/>
  <c r="L11" i="1"/>
  <c r="R10" i="1"/>
  <c r="Q10" i="1"/>
  <c r="L10" i="1"/>
  <c r="R9" i="1"/>
  <c r="Q9" i="1"/>
  <c r="L9" i="1"/>
  <c r="R8" i="1"/>
  <c r="Q8" i="1"/>
  <c r="L8" i="1"/>
  <c r="R7" i="1"/>
  <c r="Q7" i="1"/>
  <c r="L7" i="1"/>
  <c r="R6" i="1"/>
  <c r="Q6" i="1"/>
  <c r="L6" i="1"/>
  <c r="R5" i="1"/>
  <c r="Q5" i="1"/>
  <c r="L5" i="1"/>
  <c r="R4" i="1"/>
  <c r="Q4" i="1"/>
  <c r="L4" i="1"/>
  <c r="R3" i="1"/>
  <c r="Q3" i="1"/>
  <c r="L3" i="1"/>
  <c r="R2" i="1"/>
  <c r="Q2" i="1"/>
  <c r="L2" i="1"/>
</calcChain>
</file>

<file path=xl/sharedStrings.xml><?xml version="1.0" encoding="utf-8"?>
<sst xmlns="http://schemas.openxmlformats.org/spreadsheetml/2006/main" count="685" uniqueCount="226">
  <si>
    <t>ID</t>
  </si>
  <si>
    <t>Outfall</t>
  </si>
  <si>
    <t>Penempatan</t>
  </si>
  <si>
    <t>Geometri</t>
  </si>
  <si>
    <t>STA jalan awal (m)</t>
  </si>
  <si>
    <t>STA jalan akhir (m)</t>
  </si>
  <si>
    <t>STA alignment awal (m)</t>
  </si>
  <si>
    <t>STA alignment akhir (m)</t>
  </si>
  <si>
    <t>H (m)</t>
  </si>
  <si>
    <t>b dalam (m)</t>
  </si>
  <si>
    <t>z (H/V)</t>
  </si>
  <si>
    <t>Lebar atas dalam (m)</t>
  </si>
  <si>
    <t>Lebar total luar (m)</t>
  </si>
  <si>
    <t>Lebar berm (m)</t>
  </si>
  <si>
    <t>Top awal (m)</t>
  </si>
  <si>
    <t>Top akhir (m)</t>
  </si>
  <si>
    <t>Bottom awal (m)</t>
  </si>
  <si>
    <t>Bottom akhir (m)</t>
  </si>
  <si>
    <t>CS-O1-00683</t>
  </si>
  <si>
    <t>O1</t>
  </si>
  <si>
    <t>Ruang Bebas Jalan</t>
  </si>
  <si>
    <t>U-Ditch DS-2</t>
  </si>
  <si>
    <t>CS-O1-02251</t>
  </si>
  <si>
    <t>U-Ditch DS-1</t>
  </si>
  <si>
    <t>CS-O2-02530</t>
  </si>
  <si>
    <t>O2</t>
  </si>
  <si>
    <t>Timbunan</t>
  </si>
  <si>
    <t>Trapesium</t>
  </si>
  <si>
    <t>CS-O2-02555</t>
  </si>
  <si>
    <t>CS-O2-03105</t>
  </si>
  <si>
    <t>Muka Tanah Dasar</t>
  </si>
  <si>
    <t>CS-O2-03474_P1</t>
  </si>
  <si>
    <t>CS-O2-03474_P2</t>
  </si>
  <si>
    <t>Box Culvert BC1</t>
  </si>
  <si>
    <t>CS-O2-03474_P3</t>
  </si>
  <si>
    <t>CS-O2-03885</t>
  </si>
  <si>
    <t>CS-O4-05377</t>
  </si>
  <si>
    <t>O4</t>
  </si>
  <si>
    <t>CS-O4-05733</t>
  </si>
  <si>
    <t>CS-O4-06281_P1</t>
  </si>
  <si>
    <t>CS-O4-06281_P2</t>
  </si>
  <si>
    <t>Talang TL1 (Kotak)</t>
  </si>
  <si>
    <t>CS-O4-06281_P3</t>
  </si>
  <si>
    <t>CS-O4-06576</t>
  </si>
  <si>
    <t>CS-O5-06915</t>
  </si>
  <si>
    <t>O5</t>
  </si>
  <si>
    <t>CS-O5-07374</t>
  </si>
  <si>
    <t>CS-O5-08280_P1</t>
  </si>
  <si>
    <t>CS-O5-08280_P2</t>
  </si>
  <si>
    <t>Box Culvert BC2</t>
  </si>
  <si>
    <t>CS-O5-08313_P1</t>
  </si>
  <si>
    <t>CS-O5-08313_P2</t>
  </si>
  <si>
    <t>CS-O6-09000</t>
  </si>
  <si>
    <t>O6</t>
  </si>
  <si>
    <t>U-Ditch DS-3</t>
  </si>
  <si>
    <t>CS-O6-09732_P1</t>
  </si>
  <si>
    <t>CS-O6-09732_P2</t>
  </si>
  <si>
    <t>Talang TL2 (Kotak)</t>
  </si>
  <si>
    <t>CS-O6-09732_P3</t>
  </si>
  <si>
    <t>CS-O6-10469</t>
  </si>
  <si>
    <t>CS-O7-10752</t>
  </si>
  <si>
    <t>O7</t>
  </si>
  <si>
    <t>CS-O7-11002</t>
  </si>
  <si>
    <t>CS-O7-11048</t>
  </si>
  <si>
    <t>CS-O7-11139</t>
  </si>
  <si>
    <t>CS-O7-11227</t>
  </si>
  <si>
    <t>CS-O7-11338</t>
  </si>
  <si>
    <t>CS-O7-11389</t>
  </si>
  <si>
    <t>CS-O7-11538</t>
  </si>
  <si>
    <t>CS-O7-11593</t>
  </si>
  <si>
    <t>CS-O7-11617</t>
  </si>
  <si>
    <t>CS-O7-12073</t>
  </si>
  <si>
    <t>CS-O7-12175</t>
  </si>
  <si>
    <t>CS-O8-12602</t>
  </si>
  <si>
    <t>O8</t>
  </si>
  <si>
    <t>CS-O8-13091</t>
  </si>
  <si>
    <t>CS-O8-13552</t>
  </si>
  <si>
    <t>CS-O9-14109</t>
  </si>
  <si>
    <t>O9</t>
  </si>
  <si>
    <t>CS-O9-14183</t>
  </si>
  <si>
    <t>CS-O9-14310</t>
  </si>
  <si>
    <t>CS-O9-14536_P1</t>
  </si>
  <si>
    <t>CS-O9-14536_P2</t>
  </si>
  <si>
    <t>Talang TL3A (Kotak)</t>
  </si>
  <si>
    <t>CS-O9-14536_P3</t>
  </si>
  <si>
    <t>CS-O9-14536_P4</t>
  </si>
  <si>
    <t>Talang TL3B (Kotak)</t>
  </si>
  <si>
    <t>CS-O9-14536_P5</t>
  </si>
  <si>
    <t>CS-O9-14785_P1</t>
  </si>
  <si>
    <t>CS-O9-14785_P2</t>
  </si>
  <si>
    <t>Box Culvert BC4</t>
  </si>
  <si>
    <t>CS-O10-15530</t>
  </si>
  <si>
    <t>O10</t>
  </si>
  <si>
    <t>CS-O11-15884</t>
  </si>
  <si>
    <t>O11</t>
  </si>
  <si>
    <t>CS-O11-16509</t>
  </si>
  <si>
    <t>CS-O11-16701</t>
  </si>
  <si>
    <t>CS-O12-16863</t>
  </si>
  <si>
    <t>O12</t>
  </si>
  <si>
    <t>CS-O12-17240</t>
  </si>
  <si>
    <t>CS-O12-17619</t>
  </si>
  <si>
    <t>CU-O1-00683</t>
  </si>
  <si>
    <t>CU-O1-02251</t>
  </si>
  <si>
    <t>CU-O2-02530</t>
  </si>
  <si>
    <t>CU-O2-02555</t>
  </si>
  <si>
    <t>CU-O2-03105</t>
  </si>
  <si>
    <t>CU-O2-03474_P1</t>
  </si>
  <si>
    <t>CU-O2-03474_P2</t>
  </si>
  <si>
    <t>CU-O2-03474_P3</t>
  </si>
  <si>
    <t>CU-O2-03885</t>
  </si>
  <si>
    <t>CU-O4-05377</t>
  </si>
  <si>
    <t>CU-O4-05733</t>
  </si>
  <si>
    <t>CU-O4-06281_P1</t>
  </si>
  <si>
    <t>CU-O4-06281_P2</t>
  </si>
  <si>
    <t>CU-O4-06281_P3</t>
  </si>
  <si>
    <t>CU-O4-06576</t>
  </si>
  <si>
    <t>CU-O5-06915</t>
  </si>
  <si>
    <t>CU-O5-07374</t>
  </si>
  <si>
    <t>CU-O5-08280_P1</t>
  </si>
  <si>
    <t>CU-O5-08280_P2</t>
  </si>
  <si>
    <t>CU-O5-08313_P1</t>
  </si>
  <si>
    <t>CU-O5-08313_P2</t>
  </si>
  <si>
    <t>CU-O6-09000</t>
  </si>
  <si>
    <t>CU-O6-09732_P1</t>
  </si>
  <si>
    <t>CU-O6-09732_P2</t>
  </si>
  <si>
    <t>CU-O6-09732_P3</t>
  </si>
  <si>
    <t>CU-O6-10469</t>
  </si>
  <si>
    <t>CU-O7-10752</t>
  </si>
  <si>
    <t>CU-O7-11002</t>
  </si>
  <si>
    <t>CU-O7-11048</t>
  </si>
  <si>
    <t>CU-O7-11139</t>
  </si>
  <si>
    <t>CU-O7-11227</t>
  </si>
  <si>
    <t>CU-O7-11338</t>
  </si>
  <si>
    <t>CU-O7-11389</t>
  </si>
  <si>
    <t>CU-O7-11538</t>
  </si>
  <si>
    <t>CU-O7-11593</t>
  </si>
  <si>
    <t>CU-O7-11617</t>
  </si>
  <si>
    <t>CU-O7-12073</t>
  </si>
  <si>
    <t>CU-O7-12175</t>
  </si>
  <si>
    <t>CU-O8-12602</t>
  </si>
  <si>
    <t>CU-O8-13091</t>
  </si>
  <si>
    <t>CU-O8-13552</t>
  </si>
  <si>
    <t>CU-O9-14109</t>
  </si>
  <si>
    <t>CU-O9-14183</t>
  </si>
  <si>
    <t>CU-O9-14310</t>
  </si>
  <si>
    <t>CU-O9-14536_P1</t>
  </si>
  <si>
    <t>CU-O9-14536_P2</t>
  </si>
  <si>
    <t>CU-O9-14536_P3</t>
  </si>
  <si>
    <t>CU-O9-14536_P4</t>
  </si>
  <si>
    <t>CU-O9-14536_P5</t>
  </si>
  <si>
    <t>CU-O9-14785_P1</t>
  </si>
  <si>
    <t>CU-O9-14785_P2</t>
  </si>
  <si>
    <t>CU-O10-15530</t>
  </si>
  <si>
    <t>CU-O11-15884</t>
  </si>
  <si>
    <t>CU-O11-16509</t>
  </si>
  <si>
    <t>CU-O11-16701</t>
  </si>
  <si>
    <t>CU-O12-16863</t>
  </si>
  <si>
    <t>CU-O12-17240</t>
  </si>
  <si>
    <t>CU-O12-17619</t>
  </si>
  <si>
    <t>Sisi</t>
  </si>
  <si>
    <t>Selatan</t>
  </si>
  <si>
    <t>CS-O4-06281</t>
  </si>
  <si>
    <t>CS-O5-08280</t>
  </si>
  <si>
    <t>CS-O5-08313</t>
  </si>
  <si>
    <t>CS-O6-09732</t>
  </si>
  <si>
    <t>CS-O9-14536</t>
  </si>
  <si>
    <t>Utara</t>
  </si>
  <si>
    <t>CU-O4-06281</t>
  </si>
  <si>
    <t>CU-O5-08280</t>
  </si>
  <si>
    <t>CU-O5-08313</t>
  </si>
  <si>
    <t>CU-O6-09732</t>
  </si>
  <si>
    <t>CU-O9-14536</t>
  </si>
  <si>
    <t>Bangunan</t>
  </si>
  <si>
    <t>Skenario</t>
  </si>
  <si>
    <t>ID saluran acuan</t>
  </si>
  <si>
    <t>STA titik acuan</t>
  </si>
  <si>
    <t>STA awal jalan</t>
  </si>
  <si>
    <t>STA akhir jalan</t>
  </si>
  <si>
    <t>Cakupan STA (m)</t>
  </si>
  <si>
    <t>b saluran / bukaan (m)</t>
  </si>
  <si>
    <t>H saluran / bukaan (m)</t>
  </si>
  <si>
    <t>CS-O2-03474</t>
  </si>
  <si>
    <t>BC1</t>
  </si>
  <si>
    <t>Box Culvert</t>
  </si>
  <si>
    <t>TL1</t>
  </si>
  <si>
    <t>Talang</t>
  </si>
  <si>
    <t>BC2</t>
  </si>
  <si>
    <t>TL2</t>
  </si>
  <si>
    <t>TL3A</t>
  </si>
  <si>
    <t>TL3B</t>
  </si>
  <si>
    <t>BC4</t>
  </si>
  <si>
    <t>CS-O9-14785</t>
  </si>
  <si>
    <t>CU-O2-03474</t>
  </si>
  <si>
    <t>CU-O9-14785</t>
  </si>
  <si>
    <t>SP1</t>
  </si>
  <si>
    <t>Siphon</t>
  </si>
  <si>
    <t>SP4</t>
  </si>
  <si>
    <t>SP2</t>
  </si>
  <si>
    <t>SP3</t>
  </si>
  <si>
    <t>O8/O9</t>
  </si>
  <si>
    <t>SP5</t>
  </si>
  <si>
    <t>STA saluran yang berbeda</t>
  </si>
  <si>
    <t>Perubahan utama</t>
  </si>
  <si>
    <t>0+683,28–2+250,97; 2+251,01–2+526,56</t>
  </si>
  <si>
    <t>Selatan: U-ditch menjadi trapesium. Kedua sisi: Top/Bottom berubah dan penempatan RBJ berpindah ke berm.</t>
  </si>
  <si>
    <t>6+575,80–6+905,25</t>
  </si>
  <si>
    <t>Selatan: U-ditch menjadi trapesium. Top/Bottom kedua sisi berubah.</t>
  </si>
  <si>
    <t>6+914,96–7+373,88</t>
  </si>
  <si>
    <t>Selatan: U-ditch menjadi trapesium; Utara sama.</t>
  </si>
  <si>
    <t>8+280,43–8+312,81; 8+312,81–8+992,18</t>
  </si>
  <si>
    <t>Ada siphon pada Skenario 2, perubahan Top/Bottom dan batas ruas. Saluran biasa Selatan menjadi trapesium.</t>
  </si>
  <si>
    <t>9+000,19–9+732,00; 9+732,00–10+369,82</t>
  </si>
  <si>
    <t>Selatan: U-ditch menjadi trapesium. Kedua sisi mengalami perubahan Top/Bottom; talang Skenario 1 tidak tercatat sebagai talang pada Skenario 2.</t>
  </si>
  <si>
    <t>10+468,97–10+752,34</t>
  </si>
  <si>
    <t>Top/Bottom kedua sisi berubah; jenis saluran tetap.</t>
  </si>
  <si>
    <t>10+752,39–11+001,90</t>
  </si>
  <si>
    <r>
      <t xml:space="preserve">Top/Bottom berubah. Ujung Skenario 2 berada di </t>
    </r>
    <r>
      <rPr>
        <b/>
        <sz val="11"/>
        <color theme="1"/>
        <rFont val="Calibri"/>
        <family val="2"/>
        <scheme val="minor"/>
      </rPr>
      <t>10+998,33</t>
    </r>
    <r>
      <rPr>
        <sz val="11"/>
        <rFont val="Carlito"/>
      </rPr>
      <t>, berbeda dari Skenario 1.</t>
    </r>
  </si>
  <si>
    <t>11+538,48–11+592,99; 11+593,03–11+617,21; 11+617,25–12+073,24</t>
  </si>
  <si>
    <r>
      <t xml:space="preserve">Top/Bottom berubah dan terdapat siphon pada Skenario 2. Bagian setelah sekitar </t>
    </r>
    <r>
      <rPr>
        <b/>
        <sz val="11"/>
        <color theme="1"/>
        <rFont val="Calibri"/>
        <family val="2"/>
        <scheme val="minor"/>
      </rPr>
      <t>11+958,06</t>
    </r>
    <r>
      <rPr>
        <sz val="11"/>
        <rFont val="Carlito"/>
      </rPr>
      <t xml:space="preserve"> kembali sama.</t>
    </r>
  </si>
  <si>
    <t>13+090,68–13+551,74</t>
  </si>
  <si>
    <t>Top/Bottom dan batas awal ruas berubah; jenis tetap.</t>
  </si>
  <si>
    <t>13+551,74–14+057,36</t>
  </si>
  <si>
    <t>Selatan: U-ditch menjadi trapesium, dengan bagian siphon. Top/Bottom, penempatan, dan batas ruas kedua sisi berubah.</t>
  </si>
  <si>
    <t>14+108,57–14+182,94; 14+182,98–14+309,60; 14+309,64–14+536,06; 14+536,10–14+737,49</t>
  </si>
  <si>
    <t>Top/Bottom dan penempatan berubah; terdapat perbedaan siphon/talang pada bagian terkait.</t>
  </si>
  <si>
    <t>15+529,70–15+755,76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</si>
</sst>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&quot;+&quot;000.00"/>
  </numFmts>
  <fonts count="8">
    <font>
      <sz val="11"/>
      <name val="Carlito"/>
    </font>
    <font>
      <sz val="10"/>
      <color rgb="FF263846"/>
      <name val="Arial"/>
      <family val="2"/>
    </font>
    <font>
      <b/>
      <sz val="10"/>
      <color rgb="FFFFFFFF"/>
      <name val="Arial"/>
      <family val="2"/>
    </font>
    <font>
      <sz val="10"/>
      <color rgb="FF304454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sz val="10"/>
      <color rgb="FF263846"/>
      <name val="Tahoma"/>
      <family val="2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31495C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3" borderId="0" xfId="0" applyFill="1"/>
    <xf numFmtId="0" fontId="2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8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-0.499984740745262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unanRev19" displayName="BangunanRev19" ref="A1:P27" totalsRowShown="0" headerRowDxfId="16" dataDxfId="17">
  <tableColumns count="16">
    <tableColumn id="1" xr3:uid="{00000000-0010-0000-0000-000001000000}" name="ID" dataDxfId="15"/>
    <tableColumn id="2" xr3:uid="{00000000-0010-0000-0000-000002000000}" name="Skenario" dataDxfId="14"/>
    <tableColumn id="3" xr3:uid="{00000000-0010-0000-0000-000003000000}" name="Sisi" dataDxfId="13"/>
    <tableColumn id="4" xr3:uid="{00000000-0010-0000-0000-000004000000}" name="Outfall" dataDxfId="12"/>
    <tableColumn id="5" xr3:uid="{00000000-0010-0000-0000-000005000000}" name="Bangunan" dataDxfId="11"/>
    <tableColumn id="6" xr3:uid="{00000000-0010-0000-0000-000006000000}" name="ID saluran acuan" dataDxfId="10"/>
    <tableColumn id="7" xr3:uid="{00000000-0010-0000-0000-000007000000}" name="STA titik acuan" dataDxfId="9"/>
    <tableColumn id="8" xr3:uid="{00000000-0010-0000-0000-000008000000}" name="STA awal jalan" dataDxfId="8"/>
    <tableColumn id="9" xr3:uid="{00000000-0010-0000-0000-000009000000}" name="STA akhir jalan" dataDxfId="7"/>
    <tableColumn id="10" xr3:uid="{00000000-0010-0000-0000-00000A000000}" name="Cakupan STA (m)" dataDxfId="6"/>
    <tableColumn id="11" xr3:uid="{00000000-0010-0000-0000-00000B000000}" name="b saluran / bukaan (m)" dataDxfId="5"/>
    <tableColumn id="12" xr3:uid="{00000000-0010-0000-0000-00000C000000}" name="H saluran / bukaan (m)" dataDxfId="4"/>
    <tableColumn id="14" xr3:uid="{00000000-0010-0000-0000-00000E000000}" name="Top awal (m)" dataDxfId="3"/>
    <tableColumn id="15" xr3:uid="{00000000-0010-0000-0000-00000F000000}" name="Top akhir (m)" dataDxfId="2"/>
    <tableColumn id="16" xr3:uid="{00000000-0010-0000-0000-000010000000}" name="Bottom awal (m)" dataDxfId="1"/>
    <tableColumn id="17" xr3:uid="{00000000-0010-0000-0000-000011000000}" name="Bottom akhir (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56A23"/>
  </sheetPr>
  <dimension ref="A1:R59"/>
  <sheetViews>
    <sheetView showGridLines="0" tabSelected="1" zoomScale="85" zoomScaleNormal="85" workbookViewId="0">
      <pane ySplit="1" topLeftCell="A41" activePane="bottomLeft" state="frozen"/>
      <selection pane="bottomLeft" activeCell="B54" sqref="B54"/>
    </sheetView>
  </sheetViews>
  <sheetFormatPr defaultColWidth="17.75" defaultRowHeight="14"/>
  <sheetData>
    <row r="1" spans="1:18" ht="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s="7" t="s">
        <v>18</v>
      </c>
      <c r="B2" s="7" t="s">
        <v>19</v>
      </c>
      <c r="C2" s="7" t="s">
        <v>20</v>
      </c>
      <c r="D2" s="7" t="s">
        <v>21</v>
      </c>
      <c r="E2" s="8">
        <v>683.28</v>
      </c>
      <c r="F2" s="8">
        <v>2250.9699999999998</v>
      </c>
      <c r="G2" s="8">
        <v>0</v>
      </c>
      <c r="H2" s="8">
        <v>1571.6158001825129</v>
      </c>
      <c r="I2" s="8">
        <v>0.95</v>
      </c>
      <c r="J2" s="8">
        <v>0.5</v>
      </c>
      <c r="K2" s="8">
        <v>0</v>
      </c>
      <c r="L2" s="8">
        <f t="shared" ref="L2:L33" si="0">J2+2*K2*I2</f>
        <v>0.5</v>
      </c>
      <c r="M2" s="8">
        <v>1.1000000000000001</v>
      </c>
      <c r="N2" s="8"/>
      <c r="O2" s="8">
        <v>47.134056385174532</v>
      </c>
      <c r="P2" s="8">
        <v>48.238993270046052</v>
      </c>
      <c r="Q2" s="8">
        <f t="shared" ref="Q2:Q33" si="1">O2-I2</f>
        <v>46.184056385174529</v>
      </c>
      <c r="R2" s="8">
        <f t="shared" ref="R2:R33" si="2">P2-I2</f>
        <v>47.288993270046049</v>
      </c>
    </row>
    <row r="3" spans="1:18">
      <c r="A3" s="7" t="s">
        <v>22</v>
      </c>
      <c r="B3" s="7" t="s">
        <v>19</v>
      </c>
      <c r="C3" s="7" t="s">
        <v>20</v>
      </c>
      <c r="D3" s="7" t="s">
        <v>23</v>
      </c>
      <c r="E3" s="8">
        <v>2251.0099999999998</v>
      </c>
      <c r="F3" s="8">
        <v>2526.56</v>
      </c>
      <c r="G3" s="8">
        <v>1571.687015988746</v>
      </c>
      <c r="H3" s="8">
        <v>1847.2304526217767</v>
      </c>
      <c r="I3" s="8">
        <v>0.5</v>
      </c>
      <c r="J3" s="8">
        <v>0.4</v>
      </c>
      <c r="K3" s="8">
        <v>0</v>
      </c>
      <c r="L3" s="8">
        <f t="shared" si="0"/>
        <v>0.4</v>
      </c>
      <c r="M3" s="8">
        <v>1</v>
      </c>
      <c r="N3" s="8"/>
      <c r="O3" s="8">
        <v>48.239081030572443</v>
      </c>
      <c r="P3" s="8">
        <v>49.253988950376488</v>
      </c>
      <c r="Q3" s="8">
        <f t="shared" si="1"/>
        <v>47.739081030572443</v>
      </c>
      <c r="R3" s="8">
        <f t="shared" si="2"/>
        <v>48.753988950376488</v>
      </c>
    </row>
    <row r="4" spans="1:18">
      <c r="A4" s="7" t="s">
        <v>24</v>
      </c>
      <c r="B4" s="7" t="s">
        <v>25</v>
      </c>
      <c r="C4" s="7" t="s">
        <v>26</v>
      </c>
      <c r="D4" s="7" t="s">
        <v>27</v>
      </c>
      <c r="E4" s="8">
        <v>2529.6900000000373</v>
      </c>
      <c r="F4" s="8">
        <v>2555.5300000000743</v>
      </c>
      <c r="G4" s="8">
        <v>1851.6459305823846</v>
      </c>
      <c r="H4" s="8">
        <v>1877.4805623468603</v>
      </c>
      <c r="I4" s="8">
        <v>1.5</v>
      </c>
      <c r="J4" s="8">
        <v>1</v>
      </c>
      <c r="K4" s="8">
        <v>0.5</v>
      </c>
      <c r="L4" s="8">
        <f t="shared" si="0"/>
        <v>2.5</v>
      </c>
      <c r="M4" s="8">
        <v>3.1</v>
      </c>
      <c r="N4" s="8">
        <v>3.7</v>
      </c>
      <c r="O4" s="8">
        <v>48.383101590715349</v>
      </c>
      <c r="P4" s="8">
        <v>48.512101627212878</v>
      </c>
      <c r="Q4" s="8">
        <f t="shared" si="1"/>
        <v>46.883101590715349</v>
      </c>
      <c r="R4" s="8">
        <f t="shared" si="2"/>
        <v>47.012101627212878</v>
      </c>
    </row>
    <row r="5" spans="1:18">
      <c r="A5" s="7" t="s">
        <v>28</v>
      </c>
      <c r="B5" s="7" t="s">
        <v>25</v>
      </c>
      <c r="C5" s="7" t="s">
        <v>26</v>
      </c>
      <c r="D5" s="7" t="s">
        <v>27</v>
      </c>
      <c r="E5" s="8">
        <v>2555.530000000037</v>
      </c>
      <c r="F5" s="8">
        <v>3105.2900000000373</v>
      </c>
      <c r="G5" s="8">
        <v>1877.4805357429923</v>
      </c>
      <c r="H5" s="8">
        <v>2426.4274611053424</v>
      </c>
      <c r="I5" s="8">
        <v>1.5</v>
      </c>
      <c r="J5" s="8">
        <v>1</v>
      </c>
      <c r="K5" s="8">
        <v>0.5</v>
      </c>
      <c r="L5" s="8">
        <f t="shared" si="0"/>
        <v>2.5</v>
      </c>
      <c r="M5" s="8">
        <v>3.1</v>
      </c>
      <c r="N5" s="8">
        <v>3.7</v>
      </c>
      <c r="O5" s="8">
        <v>48.512101627092214</v>
      </c>
      <c r="P5" s="8">
        <v>48.513101554338476</v>
      </c>
      <c r="Q5" s="8">
        <f t="shared" si="1"/>
        <v>47.012101627092214</v>
      </c>
      <c r="R5" s="8">
        <f t="shared" si="2"/>
        <v>47.013101554338476</v>
      </c>
    </row>
    <row r="6" spans="1:18">
      <c r="A6" s="7" t="s">
        <v>29</v>
      </c>
      <c r="B6" s="7" t="s">
        <v>25</v>
      </c>
      <c r="C6" s="7" t="s">
        <v>30</v>
      </c>
      <c r="D6" s="7" t="s">
        <v>27</v>
      </c>
      <c r="E6" s="8">
        <v>3105.29</v>
      </c>
      <c r="F6" s="8">
        <v>3473.92</v>
      </c>
      <c r="G6" s="8">
        <v>2427.5226405218032</v>
      </c>
      <c r="H6" s="8">
        <v>2796.2606175912219</v>
      </c>
      <c r="I6" s="8">
        <v>1.7</v>
      </c>
      <c r="J6" s="8">
        <v>1</v>
      </c>
      <c r="K6" s="8">
        <v>0.5</v>
      </c>
      <c r="L6" s="8">
        <f t="shared" si="0"/>
        <v>2.7</v>
      </c>
      <c r="M6" s="8">
        <v>3.3000000000000029</v>
      </c>
      <c r="N6" s="8"/>
      <c r="O6" s="8">
        <v>48.51310155423549</v>
      </c>
      <c r="P6" s="8">
        <v>50.384898445764506</v>
      </c>
      <c r="Q6" s="8">
        <f t="shared" si="1"/>
        <v>46.813101554235487</v>
      </c>
      <c r="R6" s="8">
        <f t="shared" si="2"/>
        <v>48.684898445764503</v>
      </c>
    </row>
    <row r="7" spans="1:18">
      <c r="A7" s="7" t="s">
        <v>31</v>
      </c>
      <c r="B7" s="7" t="s">
        <v>25</v>
      </c>
      <c r="C7" s="7" t="s">
        <v>30</v>
      </c>
      <c r="D7" s="7" t="s">
        <v>27</v>
      </c>
      <c r="E7" s="8">
        <v>3473.96</v>
      </c>
      <c r="F7" s="8">
        <v>3628.12</v>
      </c>
      <c r="G7" s="8">
        <v>2796.375184433688</v>
      </c>
      <c r="H7" s="8">
        <v>2950.5478008038635</v>
      </c>
      <c r="I7" s="8">
        <v>1.6</v>
      </c>
      <c r="J7" s="8">
        <v>0.9</v>
      </c>
      <c r="K7" s="8">
        <v>0.5</v>
      </c>
      <c r="L7" s="8">
        <f t="shared" si="0"/>
        <v>2.5</v>
      </c>
      <c r="M7" s="8">
        <v>3.0999999999999943</v>
      </c>
      <c r="N7" s="8"/>
      <c r="O7" s="8">
        <v>50.388098885047953</v>
      </c>
      <c r="P7" s="8">
        <v>51.150304834704706</v>
      </c>
      <c r="Q7" s="8">
        <f t="shared" si="1"/>
        <v>48.788098885047951</v>
      </c>
      <c r="R7" s="8">
        <f t="shared" si="2"/>
        <v>49.550304834704704</v>
      </c>
    </row>
    <row r="8" spans="1:18">
      <c r="A8" s="7" t="s">
        <v>32</v>
      </c>
      <c r="B8" s="7" t="s">
        <v>25</v>
      </c>
      <c r="C8" s="7" t="s">
        <v>30</v>
      </c>
      <c r="D8" s="9" t="s">
        <v>33</v>
      </c>
      <c r="E8" s="8">
        <v>3628.12</v>
      </c>
      <c r="F8" s="8">
        <v>3668.12</v>
      </c>
      <c r="G8" s="8">
        <v>2950.5478008038635</v>
      </c>
      <c r="H8" s="8">
        <v>2990.55107438201</v>
      </c>
      <c r="I8" s="8">
        <v>0.8</v>
      </c>
      <c r="J8" s="8">
        <v>0.8</v>
      </c>
      <c r="K8" s="8">
        <v>0</v>
      </c>
      <c r="L8" s="8">
        <f t="shared" si="0"/>
        <v>0.8</v>
      </c>
      <c r="M8" s="8"/>
      <c r="N8" s="8"/>
      <c r="O8" s="8">
        <v>51.150304834704706</v>
      </c>
      <c r="P8" s="8">
        <v>51.348074930619795</v>
      </c>
      <c r="Q8" s="8">
        <f t="shared" si="1"/>
        <v>50.350304834704708</v>
      </c>
      <c r="R8" s="8">
        <f t="shared" si="2"/>
        <v>50.548074930619798</v>
      </c>
    </row>
    <row r="9" spans="1:18">
      <c r="A9" s="7" t="s">
        <v>34</v>
      </c>
      <c r="B9" s="7" t="s">
        <v>25</v>
      </c>
      <c r="C9" s="7" t="s">
        <v>30</v>
      </c>
      <c r="D9" s="7" t="s">
        <v>27</v>
      </c>
      <c r="E9" s="8">
        <v>3668.12</v>
      </c>
      <c r="F9" s="8">
        <v>3884.7</v>
      </c>
      <c r="G9" s="8">
        <v>2990.55107438201</v>
      </c>
      <c r="H9" s="8">
        <v>3207.1487991708832</v>
      </c>
      <c r="I9" s="8">
        <v>1.6</v>
      </c>
      <c r="J9" s="8">
        <v>0.9</v>
      </c>
      <c r="K9" s="8">
        <v>0.5</v>
      </c>
      <c r="L9" s="8">
        <f t="shared" si="0"/>
        <v>2.5</v>
      </c>
      <c r="M9" s="8">
        <v>3.0999999999999943</v>
      </c>
      <c r="N9" s="8"/>
      <c r="O9" s="8">
        <v>51.348074930619795</v>
      </c>
      <c r="P9" s="8">
        <v>52.418901114952043</v>
      </c>
      <c r="Q9" s="8">
        <f t="shared" si="1"/>
        <v>49.748074930619794</v>
      </c>
      <c r="R9" s="8">
        <f t="shared" si="2"/>
        <v>50.818901114952041</v>
      </c>
    </row>
    <row r="10" spans="1:18">
      <c r="A10" s="7" t="s">
        <v>35</v>
      </c>
      <c r="B10" s="7" t="s">
        <v>25</v>
      </c>
      <c r="C10" s="7" t="s">
        <v>30</v>
      </c>
      <c r="D10" s="7" t="s">
        <v>27</v>
      </c>
      <c r="E10" s="8">
        <v>3884.74</v>
      </c>
      <c r="F10" s="8">
        <v>5049.1000000000004</v>
      </c>
      <c r="G10" s="8">
        <v>3207.188799922008</v>
      </c>
      <c r="H10" s="8">
        <v>4389.8540304146782</v>
      </c>
      <c r="I10" s="8">
        <v>1.5</v>
      </c>
      <c r="J10" s="8">
        <v>0.8</v>
      </c>
      <c r="K10" s="8">
        <v>0.5</v>
      </c>
      <c r="L10" s="8">
        <f t="shared" si="0"/>
        <v>2.2999999999999998</v>
      </c>
      <c r="M10" s="8">
        <v>2.9</v>
      </c>
      <c r="N10" s="8"/>
      <c r="O10" s="8">
        <v>52.419070337862209</v>
      </c>
      <c r="P10" s="8">
        <v>56.514000000000003</v>
      </c>
      <c r="Q10" s="8">
        <f t="shared" si="1"/>
        <v>50.919070337862209</v>
      </c>
      <c r="R10" s="8">
        <f t="shared" si="2"/>
        <v>55.014000000000003</v>
      </c>
    </row>
    <row r="11" spans="1:18">
      <c r="A11" s="7" t="s">
        <v>36</v>
      </c>
      <c r="B11" s="7" t="s">
        <v>37</v>
      </c>
      <c r="C11" s="7" t="s">
        <v>30</v>
      </c>
      <c r="D11" s="7" t="s">
        <v>27</v>
      </c>
      <c r="E11" s="8">
        <v>5377.17</v>
      </c>
      <c r="F11" s="8">
        <v>5733.1799999999994</v>
      </c>
      <c r="G11" s="8">
        <v>4723.0735042483511</v>
      </c>
      <c r="H11" s="8">
        <v>5085.0763830542501</v>
      </c>
      <c r="I11" s="8">
        <v>1.2</v>
      </c>
      <c r="J11" s="8">
        <v>0.7</v>
      </c>
      <c r="K11" s="8">
        <v>0.5</v>
      </c>
      <c r="L11" s="8">
        <f t="shared" si="0"/>
        <v>1.9</v>
      </c>
      <c r="M11" s="8">
        <v>2.5000000000000027</v>
      </c>
      <c r="N11" s="8"/>
      <c r="O11" s="8">
        <v>55.75</v>
      </c>
      <c r="P11" s="8">
        <v>55.05103926635396</v>
      </c>
      <c r="Q11" s="8">
        <f t="shared" si="1"/>
        <v>54.55</v>
      </c>
      <c r="R11" s="8">
        <f t="shared" si="2"/>
        <v>53.851039266353958</v>
      </c>
    </row>
    <row r="12" spans="1:18">
      <c r="A12" s="7" t="s">
        <v>38</v>
      </c>
      <c r="B12" s="7" t="s">
        <v>37</v>
      </c>
      <c r="C12" s="7" t="s">
        <v>26</v>
      </c>
      <c r="D12" s="7" t="s">
        <v>27</v>
      </c>
      <c r="E12" s="8">
        <v>5733.22</v>
      </c>
      <c r="F12" s="8">
        <v>6280.9299999999994</v>
      </c>
      <c r="G12" s="8">
        <v>5085.1758001256385</v>
      </c>
      <c r="H12" s="8">
        <v>5636.7683640823034</v>
      </c>
      <c r="I12" s="8">
        <v>1.4</v>
      </c>
      <c r="J12" s="8">
        <v>0.9</v>
      </c>
      <c r="K12" s="8">
        <v>0.5</v>
      </c>
      <c r="L12" s="8">
        <f t="shared" si="0"/>
        <v>2.2999999999999998</v>
      </c>
      <c r="M12" s="8">
        <v>2.8999999999999915</v>
      </c>
      <c r="N12" s="8">
        <v>3.5</v>
      </c>
      <c r="O12" s="8">
        <v>55.050990141487908</v>
      </c>
      <c r="P12" s="8">
        <v>54.781009858512093</v>
      </c>
      <c r="Q12" s="8">
        <f t="shared" si="1"/>
        <v>53.65099014148791</v>
      </c>
      <c r="R12" s="8">
        <f t="shared" si="2"/>
        <v>53.381009858512094</v>
      </c>
    </row>
    <row r="13" spans="1:18">
      <c r="A13" s="7" t="s">
        <v>39</v>
      </c>
      <c r="B13" s="7" t="s">
        <v>37</v>
      </c>
      <c r="C13" s="7" t="s">
        <v>26</v>
      </c>
      <c r="D13" s="7" t="s">
        <v>27</v>
      </c>
      <c r="E13" s="8">
        <v>6280.97</v>
      </c>
      <c r="F13" s="8">
        <v>6283.89</v>
      </c>
      <c r="G13" s="8">
        <v>5636.8396319239364</v>
      </c>
      <c r="H13" s="8">
        <v>5639.759633232793</v>
      </c>
      <c r="I13" s="8">
        <v>1.3</v>
      </c>
      <c r="J13" s="8">
        <v>0.7</v>
      </c>
      <c r="K13" s="8">
        <v>0.5</v>
      </c>
      <c r="L13" s="8">
        <f t="shared" si="0"/>
        <v>2</v>
      </c>
      <c r="M13" s="8">
        <v>2.599999999999997</v>
      </c>
      <c r="N13" s="8">
        <v>3.2</v>
      </c>
      <c r="O13" s="8">
        <v>54.680969520816966</v>
      </c>
      <c r="P13" s="8">
        <v>54.676519560094263</v>
      </c>
      <c r="Q13" s="8">
        <f t="shared" si="1"/>
        <v>53.380969520816969</v>
      </c>
      <c r="R13" s="8">
        <f t="shared" si="2"/>
        <v>53.376519560094266</v>
      </c>
    </row>
    <row r="14" spans="1:18">
      <c r="A14" s="7" t="s">
        <v>40</v>
      </c>
      <c r="B14" s="7" t="s">
        <v>37</v>
      </c>
      <c r="C14" s="7" t="s">
        <v>26</v>
      </c>
      <c r="D14" s="9" t="s">
        <v>41</v>
      </c>
      <c r="E14" s="8">
        <v>6283.89</v>
      </c>
      <c r="F14" s="8">
        <v>6297.39</v>
      </c>
      <c r="G14" s="8">
        <v>5639.759633232793</v>
      </c>
      <c r="H14" s="8">
        <v>5653.2596392840114</v>
      </c>
      <c r="I14" s="8">
        <v>1.3</v>
      </c>
      <c r="J14" s="8">
        <v>0.7</v>
      </c>
      <c r="K14" s="8">
        <v>0</v>
      </c>
      <c r="L14" s="8">
        <f t="shared" si="0"/>
        <v>0.7</v>
      </c>
      <c r="M14" s="8"/>
      <c r="N14" s="8">
        <v>3.2</v>
      </c>
      <c r="O14" s="8">
        <v>54.676519560094263</v>
      </c>
      <c r="P14" s="8">
        <v>54.655946111547522</v>
      </c>
      <c r="Q14" s="8">
        <f t="shared" si="1"/>
        <v>53.376519560094266</v>
      </c>
      <c r="R14" s="8">
        <f t="shared" si="2"/>
        <v>53.355946111547524</v>
      </c>
    </row>
    <row r="15" spans="1:18">
      <c r="A15" s="7" t="s">
        <v>42</v>
      </c>
      <c r="B15" s="7" t="s">
        <v>37</v>
      </c>
      <c r="C15" s="7" t="s">
        <v>26</v>
      </c>
      <c r="D15" s="7" t="s">
        <v>27</v>
      </c>
      <c r="E15" s="8">
        <v>6297.39</v>
      </c>
      <c r="F15" s="8">
        <v>6344.6</v>
      </c>
      <c r="G15" s="8">
        <v>5653.2596392840114</v>
      </c>
      <c r="H15" s="8">
        <v>5700.4696604453484</v>
      </c>
      <c r="I15" s="8">
        <v>1.3</v>
      </c>
      <c r="J15" s="8">
        <v>0.7</v>
      </c>
      <c r="K15" s="8">
        <v>0.5</v>
      </c>
      <c r="L15" s="8">
        <f t="shared" si="0"/>
        <v>2</v>
      </c>
      <c r="M15" s="8">
        <v>2.599999999999997</v>
      </c>
      <c r="N15" s="8">
        <v>3.2</v>
      </c>
      <c r="O15" s="8">
        <v>54.655946111547522</v>
      </c>
      <c r="P15" s="8">
        <v>54.583999999999996</v>
      </c>
      <c r="Q15" s="8">
        <f t="shared" si="1"/>
        <v>53.355946111547524</v>
      </c>
      <c r="R15" s="8">
        <f t="shared" si="2"/>
        <v>53.283999999999999</v>
      </c>
    </row>
    <row r="16" spans="1:18">
      <c r="A16" s="7" t="s">
        <v>43</v>
      </c>
      <c r="B16" s="7" t="s">
        <v>37</v>
      </c>
      <c r="C16" s="7" t="s">
        <v>26</v>
      </c>
      <c r="D16" s="7" t="s">
        <v>23</v>
      </c>
      <c r="E16" s="8">
        <v>6575.8</v>
      </c>
      <c r="F16" s="8">
        <v>6905.25</v>
      </c>
      <c r="G16" s="8">
        <v>5930.2998385118872</v>
      </c>
      <c r="H16" s="8">
        <v>6258.5144822050406</v>
      </c>
      <c r="I16" s="8">
        <v>0.55000000000000004</v>
      </c>
      <c r="J16" s="8">
        <v>0.4</v>
      </c>
      <c r="K16" s="8">
        <v>0</v>
      </c>
      <c r="L16" s="8">
        <f t="shared" si="0"/>
        <v>0.4</v>
      </c>
      <c r="M16" s="8">
        <v>1</v>
      </c>
      <c r="N16" s="8">
        <v>2</v>
      </c>
      <c r="O16" s="8">
        <v>53.151999999999994</v>
      </c>
      <c r="P16" s="8">
        <v>53.323999999999998</v>
      </c>
      <c r="Q16" s="8">
        <f t="shared" si="1"/>
        <v>52.601999999999997</v>
      </c>
      <c r="R16" s="8">
        <f t="shared" si="2"/>
        <v>52.774000000000001</v>
      </c>
    </row>
    <row r="17" spans="1:18">
      <c r="A17" s="7" t="s">
        <v>44</v>
      </c>
      <c r="B17" s="7" t="s">
        <v>45</v>
      </c>
      <c r="C17" s="7" t="s">
        <v>20</v>
      </c>
      <c r="D17" s="7" t="s">
        <v>21</v>
      </c>
      <c r="E17" s="8">
        <v>6914.96</v>
      </c>
      <c r="F17" s="8">
        <v>7373.8799999999992</v>
      </c>
      <c r="G17" s="8">
        <v>6268.2278851201618</v>
      </c>
      <c r="H17" s="8">
        <v>6727.135194912702</v>
      </c>
      <c r="I17" s="8">
        <v>0.8</v>
      </c>
      <c r="J17" s="8">
        <v>0.5</v>
      </c>
      <c r="K17" s="8">
        <v>0</v>
      </c>
      <c r="L17" s="8">
        <f t="shared" si="0"/>
        <v>0.5</v>
      </c>
      <c r="M17" s="8">
        <v>1.1000000000000001</v>
      </c>
      <c r="N17" s="8"/>
      <c r="O17" s="8">
        <v>53.002939190475118</v>
      </c>
      <c r="P17" s="8">
        <v>53.002000045021347</v>
      </c>
      <c r="Q17" s="8">
        <f t="shared" si="1"/>
        <v>52.202939190475121</v>
      </c>
      <c r="R17" s="8">
        <f t="shared" si="2"/>
        <v>52.20200004502135</v>
      </c>
    </row>
    <row r="18" spans="1:18">
      <c r="A18" s="7" t="s">
        <v>46</v>
      </c>
      <c r="B18" s="7" t="s">
        <v>45</v>
      </c>
      <c r="C18" s="7" t="s">
        <v>26</v>
      </c>
      <c r="D18" s="7" t="s">
        <v>21</v>
      </c>
      <c r="E18" s="8">
        <v>7373.9198917456251</v>
      </c>
      <c r="F18" s="8">
        <v>8279.9598917443436</v>
      </c>
      <c r="G18" s="8">
        <v>6727.4675484407244</v>
      </c>
      <c r="H18" s="8">
        <v>7633.521780552931</v>
      </c>
      <c r="I18" s="8">
        <v>1.05</v>
      </c>
      <c r="J18" s="8">
        <v>0.5</v>
      </c>
      <c r="K18" s="8">
        <v>0</v>
      </c>
      <c r="L18" s="8">
        <f t="shared" si="0"/>
        <v>0.5</v>
      </c>
      <c r="M18" s="8">
        <v>1.1000000000000001</v>
      </c>
      <c r="N18" s="8">
        <v>2</v>
      </c>
      <c r="O18" s="8">
        <v>53.001999963355871</v>
      </c>
      <c r="P18" s="8">
        <v>52.6720011638701</v>
      </c>
      <c r="Q18" s="8">
        <f t="shared" si="1"/>
        <v>51.951999963355874</v>
      </c>
      <c r="R18" s="8">
        <f t="shared" si="2"/>
        <v>51.622001163870102</v>
      </c>
    </row>
    <row r="19" spans="1:18">
      <c r="A19" s="7" t="s">
        <v>47</v>
      </c>
      <c r="B19" s="7" t="s">
        <v>45</v>
      </c>
      <c r="C19" s="7" t="s">
        <v>26</v>
      </c>
      <c r="D19" s="7" t="s">
        <v>23</v>
      </c>
      <c r="E19" s="8">
        <v>8280.43</v>
      </c>
      <c r="F19" s="8">
        <v>8308.2900000000009</v>
      </c>
      <c r="G19" s="8">
        <v>7633.9948406388557</v>
      </c>
      <c r="H19" s="8">
        <v>7661.996336301926</v>
      </c>
      <c r="I19" s="8">
        <v>0.75</v>
      </c>
      <c r="J19" s="8">
        <v>0.4</v>
      </c>
      <c r="K19" s="8">
        <v>0</v>
      </c>
      <c r="L19" s="8">
        <f t="shared" si="0"/>
        <v>0.4</v>
      </c>
      <c r="M19" s="8">
        <v>1</v>
      </c>
      <c r="N19" s="8">
        <v>2</v>
      </c>
      <c r="O19" s="8">
        <v>52.616</v>
      </c>
      <c r="P19" s="8">
        <v>54.025364158657034</v>
      </c>
      <c r="Q19" s="8">
        <f t="shared" si="1"/>
        <v>51.866</v>
      </c>
      <c r="R19" s="8">
        <f t="shared" si="2"/>
        <v>53.275364158657034</v>
      </c>
    </row>
    <row r="20" spans="1:18">
      <c r="A20" s="7" t="s">
        <v>48</v>
      </c>
      <c r="B20" s="7" t="s">
        <v>45</v>
      </c>
      <c r="C20" s="7" t="s">
        <v>26</v>
      </c>
      <c r="D20" s="9" t="s">
        <v>49</v>
      </c>
      <c r="E20" s="8">
        <v>8308.2900000000009</v>
      </c>
      <c r="F20" s="8">
        <v>8312.8100000000377</v>
      </c>
      <c r="G20" s="8">
        <v>7661.996336301926</v>
      </c>
      <c r="H20" s="8">
        <v>7666.5392925258348</v>
      </c>
      <c r="I20" s="8">
        <v>0.4</v>
      </c>
      <c r="J20" s="8">
        <v>0.4</v>
      </c>
      <c r="K20" s="8">
        <v>0</v>
      </c>
      <c r="L20" s="8">
        <f t="shared" si="0"/>
        <v>0.4</v>
      </c>
      <c r="M20" s="8"/>
      <c r="N20" s="8">
        <v>2</v>
      </c>
      <c r="O20" s="8">
        <v>54.025364158657034</v>
      </c>
      <c r="P20" s="8">
        <v>54.254019076000233</v>
      </c>
      <c r="Q20" s="8">
        <f t="shared" si="1"/>
        <v>53.625364158657035</v>
      </c>
      <c r="R20" s="8">
        <f t="shared" si="2"/>
        <v>53.854019076000235</v>
      </c>
    </row>
    <row r="21" spans="1:18">
      <c r="A21" s="7" t="s">
        <v>50</v>
      </c>
      <c r="B21" s="7" t="s">
        <v>45</v>
      </c>
      <c r="C21" s="7" t="s">
        <v>26</v>
      </c>
      <c r="D21" s="9" t="s">
        <v>49</v>
      </c>
      <c r="E21" s="8">
        <v>8312.8100000000013</v>
      </c>
      <c r="F21" s="8">
        <v>8348.2900000000009</v>
      </c>
      <c r="G21" s="8">
        <v>7666.5394872229408</v>
      </c>
      <c r="H21" s="8">
        <v>7702.0159846807192</v>
      </c>
      <c r="I21" s="8">
        <v>0.4</v>
      </c>
      <c r="J21" s="8">
        <v>0.4</v>
      </c>
      <c r="K21" s="8">
        <v>0</v>
      </c>
      <c r="L21" s="8">
        <f t="shared" si="0"/>
        <v>0.4</v>
      </c>
      <c r="M21" s="8"/>
      <c r="N21" s="8">
        <v>2</v>
      </c>
      <c r="O21" s="8">
        <v>54.254019075935766</v>
      </c>
      <c r="P21" s="8">
        <v>54.287859785984487</v>
      </c>
      <c r="Q21" s="8">
        <f t="shared" si="1"/>
        <v>53.854019075935767</v>
      </c>
      <c r="R21" s="8">
        <f t="shared" si="2"/>
        <v>53.887859785984489</v>
      </c>
    </row>
    <row r="22" spans="1:18">
      <c r="A22" s="7" t="s">
        <v>51</v>
      </c>
      <c r="B22" s="7" t="s">
        <v>45</v>
      </c>
      <c r="C22" s="7" t="s">
        <v>26</v>
      </c>
      <c r="D22" s="7" t="s">
        <v>23</v>
      </c>
      <c r="E22" s="8">
        <v>8348.2900000000009</v>
      </c>
      <c r="F22" s="8">
        <v>8992.18</v>
      </c>
      <c r="G22" s="8">
        <v>7702.0159846807192</v>
      </c>
      <c r="H22" s="8">
        <v>8345.8424206471609</v>
      </c>
      <c r="I22" s="8">
        <v>0.75</v>
      </c>
      <c r="J22" s="8">
        <v>0.4</v>
      </c>
      <c r="K22" s="8">
        <v>0</v>
      </c>
      <c r="L22" s="8">
        <f t="shared" si="0"/>
        <v>0.4</v>
      </c>
      <c r="M22" s="8">
        <v>1</v>
      </c>
      <c r="N22" s="8">
        <v>2</v>
      </c>
      <c r="O22" s="8">
        <v>54.287859785984487</v>
      </c>
      <c r="P22" s="8">
        <v>54.902000000000001</v>
      </c>
      <c r="Q22" s="8">
        <f t="shared" si="1"/>
        <v>53.537859785984487</v>
      </c>
      <c r="R22" s="8">
        <f t="shared" si="2"/>
        <v>54.152000000000001</v>
      </c>
    </row>
    <row r="23" spans="1:18">
      <c r="A23" s="7" t="s">
        <v>52</v>
      </c>
      <c r="B23" s="7" t="s">
        <v>53</v>
      </c>
      <c r="C23" s="7" t="s">
        <v>20</v>
      </c>
      <c r="D23" s="7" t="s">
        <v>54</v>
      </c>
      <c r="E23" s="8">
        <v>9000.19</v>
      </c>
      <c r="F23" s="8">
        <v>9732</v>
      </c>
      <c r="G23" s="8">
        <v>8353.8532700676151</v>
      </c>
      <c r="H23" s="8">
        <v>9077.8264131568667</v>
      </c>
      <c r="I23" s="8">
        <v>0.85</v>
      </c>
      <c r="J23" s="8">
        <v>0.8</v>
      </c>
      <c r="K23" s="8">
        <v>0</v>
      </c>
      <c r="L23" s="8">
        <f t="shared" si="0"/>
        <v>0.8</v>
      </c>
      <c r="M23" s="8">
        <v>1.4</v>
      </c>
      <c r="N23" s="8"/>
      <c r="O23" s="8">
        <v>54.750999999999998</v>
      </c>
      <c r="P23" s="8">
        <v>55.008900233253669</v>
      </c>
      <c r="Q23" s="8">
        <f t="shared" si="1"/>
        <v>53.900999999999996</v>
      </c>
      <c r="R23" s="8">
        <f t="shared" si="2"/>
        <v>54.158900233253668</v>
      </c>
    </row>
    <row r="24" spans="1:18">
      <c r="A24" s="7" t="s">
        <v>55</v>
      </c>
      <c r="B24" s="7" t="s">
        <v>53</v>
      </c>
      <c r="C24" s="7" t="s">
        <v>26</v>
      </c>
      <c r="D24" s="7" t="s">
        <v>54</v>
      </c>
      <c r="E24" s="8">
        <v>9731.9999999999636</v>
      </c>
      <c r="F24" s="8">
        <v>9942.9</v>
      </c>
      <c r="G24" s="8">
        <v>9078.119086673385</v>
      </c>
      <c r="H24" s="8">
        <v>9289.4754010890119</v>
      </c>
      <c r="I24" s="8">
        <v>0.95</v>
      </c>
      <c r="J24" s="8">
        <v>0.8</v>
      </c>
      <c r="K24" s="8">
        <v>0</v>
      </c>
      <c r="L24" s="8">
        <f t="shared" si="0"/>
        <v>0.8</v>
      </c>
      <c r="M24" s="8">
        <v>1.4</v>
      </c>
      <c r="N24" s="8">
        <v>2</v>
      </c>
      <c r="O24" s="8">
        <v>55.008900233170067</v>
      </c>
      <c r="P24" s="8">
        <v>54.859797486299136</v>
      </c>
      <c r="Q24" s="8">
        <f t="shared" si="1"/>
        <v>54.058900233170064</v>
      </c>
      <c r="R24" s="8">
        <f t="shared" si="2"/>
        <v>53.909797486299134</v>
      </c>
    </row>
    <row r="25" spans="1:18">
      <c r="A25" s="7" t="s">
        <v>56</v>
      </c>
      <c r="B25" s="7" t="s">
        <v>53</v>
      </c>
      <c r="C25" s="7" t="s">
        <v>26</v>
      </c>
      <c r="D25" s="9" t="s">
        <v>57</v>
      </c>
      <c r="E25" s="8">
        <v>9942.9</v>
      </c>
      <c r="F25" s="8">
        <v>9949.9</v>
      </c>
      <c r="G25" s="8">
        <v>9289.4754010890119</v>
      </c>
      <c r="H25" s="8">
        <v>9296.490546659943</v>
      </c>
      <c r="I25" s="8">
        <v>0.95</v>
      </c>
      <c r="J25" s="8">
        <v>0.8</v>
      </c>
      <c r="K25" s="8">
        <v>0</v>
      </c>
      <c r="L25" s="8">
        <f t="shared" si="0"/>
        <v>0.8</v>
      </c>
      <c r="M25" s="8"/>
      <c r="N25" s="8">
        <v>2</v>
      </c>
      <c r="O25" s="8">
        <v>54.859797486299136</v>
      </c>
      <c r="P25" s="8">
        <v>54.85484860423135</v>
      </c>
      <c r="Q25" s="8">
        <f t="shared" si="1"/>
        <v>53.909797486299134</v>
      </c>
      <c r="R25" s="8">
        <f t="shared" si="2"/>
        <v>53.904848604231347</v>
      </c>
    </row>
    <row r="26" spans="1:18">
      <c r="A26" s="7" t="s">
        <v>58</v>
      </c>
      <c r="B26" s="7" t="s">
        <v>53</v>
      </c>
      <c r="C26" s="7" t="s">
        <v>26</v>
      </c>
      <c r="D26" s="7" t="s">
        <v>54</v>
      </c>
      <c r="E26" s="8">
        <v>9949.9</v>
      </c>
      <c r="F26" s="8">
        <v>10369.82</v>
      </c>
      <c r="G26" s="8">
        <v>9296.490546659943</v>
      </c>
      <c r="H26" s="8">
        <v>9717.3191078235068</v>
      </c>
      <c r="I26" s="8">
        <v>0.95</v>
      </c>
      <c r="J26" s="8">
        <v>0.8</v>
      </c>
      <c r="K26" s="8">
        <v>0</v>
      </c>
      <c r="L26" s="8">
        <f t="shared" si="0"/>
        <v>0.8</v>
      </c>
      <c r="M26" s="8">
        <v>1.4</v>
      </c>
      <c r="N26" s="8">
        <v>2</v>
      </c>
      <c r="O26" s="8">
        <v>54.85484860423135</v>
      </c>
      <c r="P26" s="8">
        <v>54.557972238816319</v>
      </c>
      <c r="Q26" s="8">
        <f t="shared" si="1"/>
        <v>53.904848604231347</v>
      </c>
      <c r="R26" s="8">
        <f t="shared" si="2"/>
        <v>53.607972238816316</v>
      </c>
    </row>
    <row r="27" spans="1:18">
      <c r="A27" s="7" t="s">
        <v>59</v>
      </c>
      <c r="B27" s="7" t="s">
        <v>53</v>
      </c>
      <c r="C27" s="7" t="s">
        <v>30</v>
      </c>
      <c r="D27" s="7" t="s">
        <v>27</v>
      </c>
      <c r="E27" s="8">
        <v>10468.969999999999</v>
      </c>
      <c r="F27" s="8">
        <v>10752.34</v>
      </c>
      <c r="G27" s="8">
        <v>9818.3498676924155</v>
      </c>
      <c r="H27" s="8">
        <v>10106.752040796018</v>
      </c>
      <c r="I27" s="8">
        <v>1.2</v>
      </c>
      <c r="J27" s="8">
        <v>0.6</v>
      </c>
      <c r="K27" s="8">
        <v>0.5</v>
      </c>
      <c r="L27" s="8">
        <f t="shared" si="0"/>
        <v>1.7999999999999998</v>
      </c>
      <c r="M27" s="8">
        <v>2.400000000000003</v>
      </c>
      <c r="N27" s="8"/>
      <c r="O27" s="8">
        <v>55.634999999999998</v>
      </c>
      <c r="P27" s="8">
        <v>55.830999999999996</v>
      </c>
      <c r="Q27" s="8">
        <f t="shared" si="1"/>
        <v>54.434999999999995</v>
      </c>
      <c r="R27" s="8">
        <f t="shared" si="2"/>
        <v>54.630999999999993</v>
      </c>
    </row>
    <row r="28" spans="1:18">
      <c r="A28" s="7" t="s">
        <v>60</v>
      </c>
      <c r="B28" s="7" t="s">
        <v>61</v>
      </c>
      <c r="C28" s="7" t="s">
        <v>26</v>
      </c>
      <c r="D28" s="7" t="s">
        <v>23</v>
      </c>
      <c r="E28" s="8">
        <v>10752.39</v>
      </c>
      <c r="F28" s="8">
        <v>11001.9</v>
      </c>
      <c r="G28" s="8">
        <v>10107.99308803739</v>
      </c>
      <c r="H28" s="8">
        <v>10361.418279956073</v>
      </c>
      <c r="I28" s="8">
        <v>0.45</v>
      </c>
      <c r="J28" s="8">
        <v>0.4</v>
      </c>
      <c r="K28" s="8">
        <v>0</v>
      </c>
      <c r="L28" s="8">
        <f t="shared" si="0"/>
        <v>0.4</v>
      </c>
      <c r="M28" s="8">
        <v>1</v>
      </c>
      <c r="N28" s="8">
        <v>2</v>
      </c>
      <c r="O28" s="8">
        <v>56.168999999999997</v>
      </c>
      <c r="P28" s="8">
        <v>55.645041998958042</v>
      </c>
      <c r="Q28" s="8">
        <f t="shared" si="1"/>
        <v>55.718999999999994</v>
      </c>
      <c r="R28" s="8">
        <f t="shared" si="2"/>
        <v>55.19504199895804</v>
      </c>
    </row>
    <row r="29" spans="1:18">
      <c r="A29" s="7" t="s">
        <v>62</v>
      </c>
      <c r="B29" s="7" t="s">
        <v>61</v>
      </c>
      <c r="C29" s="7" t="s">
        <v>26</v>
      </c>
      <c r="D29" s="7" t="s">
        <v>23</v>
      </c>
      <c r="E29" s="8">
        <v>11001.94</v>
      </c>
      <c r="F29" s="8">
        <v>11047.83</v>
      </c>
      <c r="G29" s="8">
        <v>10361.459005745983</v>
      </c>
      <c r="H29" s="8">
        <v>10408.248925811933</v>
      </c>
      <c r="I29" s="8">
        <v>0.45</v>
      </c>
      <c r="J29" s="8">
        <v>0.4</v>
      </c>
      <c r="K29" s="8">
        <v>0</v>
      </c>
      <c r="L29" s="8">
        <f t="shared" si="0"/>
        <v>0.4</v>
      </c>
      <c r="M29" s="8">
        <v>1</v>
      </c>
      <c r="N29" s="8">
        <v>2</v>
      </c>
      <c r="O29" s="8">
        <v>55.644496625299361</v>
      </c>
      <c r="P29" s="8">
        <v>54.489503374700639</v>
      </c>
      <c r="Q29" s="8">
        <f t="shared" si="1"/>
        <v>55.194496625299358</v>
      </c>
      <c r="R29" s="8">
        <f t="shared" si="2"/>
        <v>54.039503374700637</v>
      </c>
    </row>
    <row r="30" spans="1:18">
      <c r="A30" s="7" t="s">
        <v>63</v>
      </c>
      <c r="B30" s="7" t="s">
        <v>61</v>
      </c>
      <c r="C30" s="7" t="s">
        <v>30</v>
      </c>
      <c r="D30" s="7" t="s">
        <v>27</v>
      </c>
      <c r="E30" s="8">
        <v>11047.87</v>
      </c>
      <c r="F30" s="8">
        <v>11138.64</v>
      </c>
      <c r="G30" s="8">
        <v>10408.728392281631</v>
      </c>
      <c r="H30" s="8">
        <v>10500.3322113496</v>
      </c>
      <c r="I30" s="8">
        <v>0.7</v>
      </c>
      <c r="J30" s="8">
        <v>0.4</v>
      </c>
      <c r="K30" s="8">
        <v>0.5</v>
      </c>
      <c r="L30" s="8">
        <f t="shared" si="0"/>
        <v>1.1000000000000001</v>
      </c>
      <c r="M30" s="8">
        <v>1.7000000000000028</v>
      </c>
      <c r="N30" s="8"/>
      <c r="O30" s="8">
        <v>54.488947362625261</v>
      </c>
      <c r="P30" s="8">
        <v>54.250052637374736</v>
      </c>
      <c r="Q30" s="8">
        <f t="shared" si="1"/>
        <v>53.788947362625258</v>
      </c>
      <c r="R30" s="8">
        <f t="shared" si="2"/>
        <v>53.550052637374733</v>
      </c>
    </row>
    <row r="31" spans="1:18">
      <c r="A31" s="7" t="s">
        <v>64</v>
      </c>
      <c r="B31" s="7" t="s">
        <v>61</v>
      </c>
      <c r="C31" s="7" t="s">
        <v>30</v>
      </c>
      <c r="D31" s="7" t="s">
        <v>27</v>
      </c>
      <c r="E31" s="8">
        <v>11138.68</v>
      </c>
      <c r="F31" s="8">
        <v>11227.47</v>
      </c>
      <c r="G31" s="8">
        <v>10500.403418112346</v>
      </c>
      <c r="H31" s="8">
        <v>10589.220259598487</v>
      </c>
      <c r="I31" s="8">
        <v>0.8</v>
      </c>
      <c r="J31" s="8">
        <v>0.4</v>
      </c>
      <c r="K31" s="8">
        <v>0.5</v>
      </c>
      <c r="L31" s="8">
        <f t="shared" si="0"/>
        <v>1.2000000000000002</v>
      </c>
      <c r="M31" s="8">
        <v>1.7999999999999972</v>
      </c>
      <c r="N31" s="8"/>
      <c r="O31" s="8">
        <v>54.249928177417537</v>
      </c>
      <c r="P31" s="8">
        <v>53.93107182258246</v>
      </c>
      <c r="Q31" s="8">
        <f t="shared" si="1"/>
        <v>53.44992817741754</v>
      </c>
      <c r="R31" s="8">
        <f t="shared" si="2"/>
        <v>53.131071822582463</v>
      </c>
    </row>
    <row r="32" spans="1:18">
      <c r="A32" s="7" t="s">
        <v>65</v>
      </c>
      <c r="B32" s="7" t="s">
        <v>61</v>
      </c>
      <c r="C32" s="7" t="s">
        <v>30</v>
      </c>
      <c r="D32" s="7" t="s">
        <v>27</v>
      </c>
      <c r="E32" s="8">
        <v>11227.51</v>
      </c>
      <c r="F32" s="8">
        <v>11337.88</v>
      </c>
      <c r="G32" s="8">
        <v>10589.260259598488</v>
      </c>
      <c r="H32" s="8">
        <v>10699.644648095678</v>
      </c>
      <c r="I32" s="8">
        <v>0.8</v>
      </c>
      <c r="J32" s="8">
        <v>0.4</v>
      </c>
      <c r="K32" s="8">
        <v>0.5</v>
      </c>
      <c r="L32" s="8">
        <f t="shared" si="0"/>
        <v>1.2000000000000002</v>
      </c>
      <c r="M32" s="8">
        <v>1.7999999999999972</v>
      </c>
      <c r="N32" s="8"/>
      <c r="O32" s="8">
        <v>53.930799836971282</v>
      </c>
      <c r="P32" s="8">
        <v>52.826200163028716</v>
      </c>
      <c r="Q32" s="8">
        <f t="shared" si="1"/>
        <v>53.130799836971285</v>
      </c>
      <c r="R32" s="8">
        <f t="shared" si="2"/>
        <v>52.026200163028719</v>
      </c>
    </row>
    <row r="33" spans="1:18">
      <c r="A33" s="7" t="s">
        <v>66</v>
      </c>
      <c r="B33" s="7" t="s">
        <v>61</v>
      </c>
      <c r="C33" s="7" t="s">
        <v>30</v>
      </c>
      <c r="D33" s="7" t="s">
        <v>27</v>
      </c>
      <c r="E33" s="8">
        <v>11337.92</v>
      </c>
      <c r="F33" s="8">
        <v>11388.949999999999</v>
      </c>
      <c r="G33" s="8">
        <v>10699.68464809579</v>
      </c>
      <c r="H33" s="8">
        <v>10750.762563850711</v>
      </c>
      <c r="I33" s="8">
        <v>0.8</v>
      </c>
      <c r="J33" s="8">
        <v>0.4</v>
      </c>
      <c r="K33" s="8">
        <v>0.5</v>
      </c>
      <c r="L33" s="8">
        <f t="shared" si="0"/>
        <v>1.2000000000000002</v>
      </c>
      <c r="M33" s="8">
        <v>1.7999999999999972</v>
      </c>
      <c r="N33" s="8"/>
      <c r="O33" s="8">
        <v>52.825759545721553</v>
      </c>
      <c r="P33" s="8">
        <v>52.212240454278451</v>
      </c>
      <c r="Q33" s="8">
        <f t="shared" si="1"/>
        <v>52.025759545721556</v>
      </c>
      <c r="R33" s="8">
        <f t="shared" si="2"/>
        <v>51.412240454278454</v>
      </c>
    </row>
    <row r="34" spans="1:18">
      <c r="A34" s="7" t="s">
        <v>67</v>
      </c>
      <c r="B34" s="7" t="s">
        <v>61</v>
      </c>
      <c r="C34" s="7" t="s">
        <v>30</v>
      </c>
      <c r="D34" s="7" t="s">
        <v>27</v>
      </c>
      <c r="E34" s="8">
        <v>11388.99</v>
      </c>
      <c r="F34" s="8">
        <v>11472.8</v>
      </c>
      <c r="G34" s="8">
        <v>10750.833107454044</v>
      </c>
      <c r="H34" s="8">
        <v>10834.693634522611</v>
      </c>
      <c r="I34" s="8">
        <v>1</v>
      </c>
      <c r="J34" s="8">
        <v>0.7</v>
      </c>
      <c r="K34" s="8">
        <v>0.5</v>
      </c>
      <c r="L34" s="8">
        <f t="shared" ref="L34:L65" si="3">J34+2*K34*I34</f>
        <v>1.7</v>
      </c>
      <c r="M34" s="8">
        <v>2.2999999999999998</v>
      </c>
      <c r="N34" s="8"/>
      <c r="O34" s="8">
        <v>52.211963736132653</v>
      </c>
      <c r="P34" s="8">
        <v>52.06</v>
      </c>
      <c r="Q34" s="8">
        <f t="shared" ref="Q34:Q59" si="4">O34-I34</f>
        <v>51.211963736132653</v>
      </c>
      <c r="R34" s="8">
        <f t="shared" ref="R34:R59" si="5">P34-I34</f>
        <v>51.06</v>
      </c>
    </row>
    <row r="35" spans="1:18">
      <c r="A35" s="7" t="s">
        <v>68</v>
      </c>
      <c r="B35" s="7" t="s">
        <v>61</v>
      </c>
      <c r="C35" s="7" t="s">
        <v>30</v>
      </c>
      <c r="D35" s="7" t="s">
        <v>27</v>
      </c>
      <c r="E35" s="8">
        <v>11538.48</v>
      </c>
      <c r="F35" s="8">
        <v>11592.99</v>
      </c>
      <c r="G35" s="8">
        <v>10900.425881730791</v>
      </c>
      <c r="H35" s="8">
        <v>10955.024451224574</v>
      </c>
      <c r="I35" s="8">
        <v>1.3</v>
      </c>
      <c r="J35" s="8">
        <v>0.7</v>
      </c>
      <c r="K35" s="8">
        <v>0.5</v>
      </c>
      <c r="L35" s="8">
        <f t="shared" si="3"/>
        <v>2</v>
      </c>
      <c r="M35" s="8">
        <v>2.599999999999997</v>
      </c>
      <c r="N35" s="8"/>
      <c r="O35" s="8">
        <v>52.04</v>
      </c>
      <c r="P35" s="8">
        <v>52.174950485971024</v>
      </c>
      <c r="Q35" s="8">
        <f t="shared" si="4"/>
        <v>50.74</v>
      </c>
      <c r="R35" s="8">
        <f t="shared" si="5"/>
        <v>50.874950485971027</v>
      </c>
    </row>
    <row r="36" spans="1:18">
      <c r="A36" s="7" t="s">
        <v>69</v>
      </c>
      <c r="B36" s="7" t="s">
        <v>61</v>
      </c>
      <c r="C36" s="7" t="s">
        <v>30</v>
      </c>
      <c r="D36" s="7" t="s">
        <v>27</v>
      </c>
      <c r="E36" s="8">
        <v>11593.03</v>
      </c>
      <c r="F36" s="8">
        <v>11617.21</v>
      </c>
      <c r="G36" s="8">
        <v>10955.064453861756</v>
      </c>
      <c r="H36" s="8">
        <v>10979.239131270549</v>
      </c>
      <c r="I36" s="8">
        <v>1.2</v>
      </c>
      <c r="J36" s="8">
        <v>0.6</v>
      </c>
      <c r="K36" s="8">
        <v>0.5</v>
      </c>
      <c r="L36" s="8">
        <f t="shared" si="3"/>
        <v>1.7999999999999998</v>
      </c>
      <c r="M36" s="8">
        <v>2.400000000000003</v>
      </c>
      <c r="N36" s="8"/>
      <c r="O36" s="8">
        <v>52.176227910817531</v>
      </c>
      <c r="P36" s="8">
        <v>53.660772089182466</v>
      </c>
      <c r="Q36" s="8">
        <f t="shared" si="4"/>
        <v>50.976227910817528</v>
      </c>
      <c r="R36" s="8">
        <f t="shared" si="5"/>
        <v>52.460772089182463</v>
      </c>
    </row>
    <row r="37" spans="1:18">
      <c r="A37" s="7" t="s">
        <v>70</v>
      </c>
      <c r="B37" s="7" t="s">
        <v>61</v>
      </c>
      <c r="C37" s="7" t="s">
        <v>30</v>
      </c>
      <c r="D37" s="7" t="s">
        <v>27</v>
      </c>
      <c r="E37" s="8">
        <v>11617.25</v>
      </c>
      <c r="F37" s="8">
        <v>12073.24</v>
      </c>
      <c r="G37" s="8">
        <v>10979.354347754572</v>
      </c>
      <c r="H37" s="8">
        <v>11435.497548031348</v>
      </c>
      <c r="I37" s="8">
        <v>1.2</v>
      </c>
      <c r="J37" s="8">
        <v>0.8</v>
      </c>
      <c r="K37" s="8">
        <v>0.5</v>
      </c>
      <c r="L37" s="8">
        <f t="shared" si="3"/>
        <v>2</v>
      </c>
      <c r="M37" s="8">
        <v>2.6000000000000028</v>
      </c>
      <c r="N37" s="8"/>
      <c r="O37" s="8">
        <v>53.662080871872462</v>
      </c>
      <c r="P37" s="8">
        <v>55.50591912812753</v>
      </c>
      <c r="Q37" s="8">
        <f t="shared" si="4"/>
        <v>52.462080871872459</v>
      </c>
      <c r="R37" s="8">
        <f t="shared" si="5"/>
        <v>54.305919128127528</v>
      </c>
    </row>
    <row r="38" spans="1:18">
      <c r="A38" s="7" t="s">
        <v>71</v>
      </c>
      <c r="B38" s="7" t="s">
        <v>61</v>
      </c>
      <c r="C38" s="7" t="s">
        <v>30</v>
      </c>
      <c r="D38" s="7" t="s">
        <v>27</v>
      </c>
      <c r="E38" s="8">
        <v>12073.28</v>
      </c>
      <c r="F38" s="8">
        <v>12174.98</v>
      </c>
      <c r="G38" s="8">
        <v>11435.635327346537</v>
      </c>
      <c r="H38" s="8">
        <v>11537.325385011416</v>
      </c>
      <c r="I38" s="8">
        <v>1.2</v>
      </c>
      <c r="J38" s="8">
        <v>0.8</v>
      </c>
      <c r="K38" s="8">
        <v>0.5</v>
      </c>
      <c r="L38" s="8">
        <f t="shared" si="3"/>
        <v>2</v>
      </c>
      <c r="M38" s="8">
        <v>2.6000000000000028</v>
      </c>
      <c r="N38" s="8"/>
      <c r="O38" s="8">
        <v>55.506070572046397</v>
      </c>
      <c r="P38" s="8">
        <v>55.864929427953605</v>
      </c>
      <c r="Q38" s="8">
        <f t="shared" si="4"/>
        <v>54.306070572046394</v>
      </c>
      <c r="R38" s="8">
        <f t="shared" si="5"/>
        <v>54.664929427953602</v>
      </c>
    </row>
    <row r="39" spans="1:18">
      <c r="A39" s="7" t="s">
        <v>72</v>
      </c>
      <c r="B39" s="7" t="s">
        <v>61</v>
      </c>
      <c r="C39" s="7" t="s">
        <v>30</v>
      </c>
      <c r="D39" s="7" t="s">
        <v>27</v>
      </c>
      <c r="E39" s="8">
        <v>12175.02</v>
      </c>
      <c r="F39" s="8">
        <v>12489.97</v>
      </c>
      <c r="G39" s="8">
        <v>11537.558539433483</v>
      </c>
      <c r="H39" s="8">
        <v>11852.533620597203</v>
      </c>
      <c r="I39" s="8">
        <v>1.2</v>
      </c>
      <c r="J39" s="8">
        <v>0.8</v>
      </c>
      <c r="K39" s="8">
        <v>0.5</v>
      </c>
      <c r="L39" s="8">
        <f t="shared" si="3"/>
        <v>2</v>
      </c>
      <c r="M39" s="8">
        <v>2.6000000000000028</v>
      </c>
      <c r="N39" s="8"/>
      <c r="O39" s="8">
        <v>55.865008381750648</v>
      </c>
      <c r="P39" s="8">
        <v>55.997</v>
      </c>
      <c r="Q39" s="8">
        <f t="shared" si="4"/>
        <v>54.665008381750646</v>
      </c>
      <c r="R39" s="8">
        <f t="shared" si="5"/>
        <v>54.796999999999997</v>
      </c>
    </row>
    <row r="40" spans="1:18">
      <c r="A40" s="7" t="s">
        <v>73</v>
      </c>
      <c r="B40" s="7" t="s">
        <v>74</v>
      </c>
      <c r="C40" s="7" t="s">
        <v>30</v>
      </c>
      <c r="D40" s="7" t="s">
        <v>27</v>
      </c>
      <c r="E40" s="8">
        <v>12602.13</v>
      </c>
      <c r="F40" s="8">
        <v>13067.53</v>
      </c>
      <c r="G40" s="8">
        <v>11964.693744644199</v>
      </c>
      <c r="H40" s="8">
        <v>12430.127224591948</v>
      </c>
      <c r="I40" s="8">
        <v>1</v>
      </c>
      <c r="J40" s="8">
        <v>0.6</v>
      </c>
      <c r="K40" s="8">
        <v>0.5</v>
      </c>
      <c r="L40" s="8">
        <f t="shared" si="3"/>
        <v>1.6</v>
      </c>
      <c r="M40" s="8">
        <v>2.2000000000000002</v>
      </c>
      <c r="N40" s="8"/>
      <c r="O40" s="8">
        <v>56.2</v>
      </c>
      <c r="P40" s="8">
        <v>56.01</v>
      </c>
      <c r="Q40" s="8">
        <f t="shared" si="4"/>
        <v>55.2</v>
      </c>
      <c r="R40" s="8">
        <f t="shared" si="5"/>
        <v>55.01</v>
      </c>
    </row>
    <row r="41" spans="1:18">
      <c r="A41" s="7" t="s">
        <v>75</v>
      </c>
      <c r="B41" s="7" t="s">
        <v>74</v>
      </c>
      <c r="C41" s="7" t="s">
        <v>26</v>
      </c>
      <c r="D41" s="7" t="s">
        <v>21</v>
      </c>
      <c r="E41" s="8">
        <v>13090.68</v>
      </c>
      <c r="F41" s="8">
        <v>13551.740000000036</v>
      </c>
      <c r="G41" s="8">
        <v>12453.345279253874</v>
      </c>
      <c r="H41" s="8">
        <v>12914.4125942552</v>
      </c>
      <c r="I41" s="8">
        <v>0.95</v>
      </c>
      <c r="J41" s="8">
        <v>0.5</v>
      </c>
      <c r="K41" s="8">
        <v>0</v>
      </c>
      <c r="L41" s="8">
        <f t="shared" si="3"/>
        <v>0.5</v>
      </c>
      <c r="M41" s="8">
        <v>1.1000000000000001</v>
      </c>
      <c r="N41" s="8">
        <v>2</v>
      </c>
      <c r="O41" s="8">
        <v>56</v>
      </c>
      <c r="P41" s="8">
        <v>56.064000000099959</v>
      </c>
      <c r="Q41" s="8">
        <f t="shared" si="4"/>
        <v>55.05</v>
      </c>
      <c r="R41" s="8">
        <f t="shared" si="5"/>
        <v>55.114000000099956</v>
      </c>
    </row>
    <row r="42" spans="1:18">
      <c r="A42" s="7" t="s">
        <v>76</v>
      </c>
      <c r="B42" s="7" t="s">
        <v>74</v>
      </c>
      <c r="C42" s="7" t="s">
        <v>20</v>
      </c>
      <c r="D42" s="7" t="s">
        <v>23</v>
      </c>
      <c r="E42" s="8">
        <v>13551.74</v>
      </c>
      <c r="F42" s="8">
        <v>14057.36</v>
      </c>
      <c r="G42" s="8">
        <v>12914.755120487891</v>
      </c>
      <c r="H42" s="8">
        <v>13420.375120487864</v>
      </c>
      <c r="I42" s="8">
        <v>0.75</v>
      </c>
      <c r="J42" s="8">
        <v>0.4</v>
      </c>
      <c r="K42" s="8">
        <v>0</v>
      </c>
      <c r="L42" s="8">
        <f t="shared" si="3"/>
        <v>0.4</v>
      </c>
      <c r="M42" s="8">
        <v>1</v>
      </c>
      <c r="N42" s="8"/>
      <c r="O42" s="8">
        <v>56.064</v>
      </c>
      <c r="P42" s="8">
        <v>56.064</v>
      </c>
      <c r="Q42" s="8">
        <f t="shared" si="4"/>
        <v>55.314</v>
      </c>
      <c r="R42" s="8">
        <f t="shared" si="5"/>
        <v>55.314</v>
      </c>
    </row>
    <row r="43" spans="1:18">
      <c r="A43" s="7" t="s">
        <v>77</v>
      </c>
      <c r="B43" s="7" t="s">
        <v>78</v>
      </c>
      <c r="C43" s="7" t="s">
        <v>20</v>
      </c>
      <c r="D43" s="7" t="s">
        <v>23</v>
      </c>
      <c r="E43" s="8">
        <v>14108.57</v>
      </c>
      <c r="F43" s="8">
        <v>14182.939999999999</v>
      </c>
      <c r="G43" s="8">
        <v>13471.585120487835</v>
      </c>
      <c r="H43" s="8">
        <v>13545.955120487843</v>
      </c>
      <c r="I43" s="8">
        <v>0.35</v>
      </c>
      <c r="J43" s="8">
        <v>0.4</v>
      </c>
      <c r="K43" s="8">
        <v>0</v>
      </c>
      <c r="L43" s="8">
        <f t="shared" si="3"/>
        <v>0.4</v>
      </c>
      <c r="M43" s="8">
        <v>1</v>
      </c>
      <c r="N43" s="8"/>
      <c r="O43" s="8">
        <v>56.064</v>
      </c>
      <c r="P43" s="8">
        <v>56.064</v>
      </c>
      <c r="Q43" s="8">
        <f t="shared" si="4"/>
        <v>55.713999999999999</v>
      </c>
      <c r="R43" s="8">
        <f t="shared" si="5"/>
        <v>55.713999999999999</v>
      </c>
    </row>
    <row r="44" spans="1:18">
      <c r="A44" s="7" t="s">
        <v>79</v>
      </c>
      <c r="B44" s="7" t="s">
        <v>78</v>
      </c>
      <c r="C44" s="7" t="s">
        <v>20</v>
      </c>
      <c r="D44" s="7" t="s">
        <v>23</v>
      </c>
      <c r="E44" s="8">
        <v>14182.98</v>
      </c>
      <c r="F44" s="8">
        <v>14309.6</v>
      </c>
      <c r="G44" s="8">
        <v>13545.995291560719</v>
      </c>
      <c r="H44" s="8">
        <v>13672.6152954998</v>
      </c>
      <c r="I44" s="8">
        <v>0.35</v>
      </c>
      <c r="J44" s="8">
        <v>0.4</v>
      </c>
      <c r="K44" s="8">
        <v>0</v>
      </c>
      <c r="L44" s="8">
        <f t="shared" si="3"/>
        <v>0.4</v>
      </c>
      <c r="M44" s="8">
        <v>1</v>
      </c>
      <c r="N44" s="8"/>
      <c r="O44" s="8">
        <v>56.063563085720716</v>
      </c>
      <c r="P44" s="8">
        <v>53.297458783647883</v>
      </c>
      <c r="Q44" s="8">
        <f t="shared" si="4"/>
        <v>55.713563085720715</v>
      </c>
      <c r="R44" s="8">
        <f t="shared" si="5"/>
        <v>52.947458783647882</v>
      </c>
    </row>
    <row r="45" spans="1:18">
      <c r="A45" s="7" t="s">
        <v>80</v>
      </c>
      <c r="B45" s="7" t="s">
        <v>78</v>
      </c>
      <c r="C45" s="7" t="s">
        <v>20</v>
      </c>
      <c r="D45" s="7" t="s">
        <v>23</v>
      </c>
      <c r="E45" s="8">
        <v>14309.640000000001</v>
      </c>
      <c r="F45" s="8">
        <v>14536.06</v>
      </c>
      <c r="G45" s="8">
        <v>13672.65529593043</v>
      </c>
      <c r="H45" s="8">
        <v>13899.062841075145</v>
      </c>
      <c r="I45" s="8">
        <v>0.65</v>
      </c>
      <c r="J45" s="8">
        <v>0.4</v>
      </c>
      <c r="K45" s="8">
        <v>0</v>
      </c>
      <c r="L45" s="8">
        <f t="shared" si="3"/>
        <v>0.4</v>
      </c>
      <c r="M45" s="8">
        <v>1</v>
      </c>
      <c r="N45" s="8"/>
      <c r="O45" s="8">
        <v>53.297021867437188</v>
      </c>
      <c r="P45" s="8">
        <v>53.297000001931409</v>
      </c>
      <c r="Q45" s="8">
        <f t="shared" si="4"/>
        <v>52.647021867437189</v>
      </c>
      <c r="R45" s="8">
        <f t="shared" si="5"/>
        <v>52.64700000193141</v>
      </c>
    </row>
    <row r="46" spans="1:18">
      <c r="A46" s="7" t="s">
        <v>81</v>
      </c>
      <c r="B46" s="7" t="s">
        <v>78</v>
      </c>
      <c r="C46" s="7" t="s">
        <v>26</v>
      </c>
      <c r="D46" s="7" t="s">
        <v>23</v>
      </c>
      <c r="E46" s="8">
        <v>14536.099994727318</v>
      </c>
      <c r="F46" s="8">
        <v>14714.76</v>
      </c>
      <c r="G46" s="8">
        <v>13899.395297086647</v>
      </c>
      <c r="H46" s="8">
        <v>14078.09496924664</v>
      </c>
      <c r="I46" s="8">
        <v>0.65</v>
      </c>
      <c r="J46" s="8">
        <v>0.4</v>
      </c>
      <c r="K46" s="8">
        <v>0</v>
      </c>
      <c r="L46" s="8">
        <f t="shared" si="3"/>
        <v>0.4</v>
      </c>
      <c r="M46" s="8">
        <v>1</v>
      </c>
      <c r="N46" s="8">
        <v>2</v>
      </c>
      <c r="O46" s="8">
        <v>53.296999998085148</v>
      </c>
      <c r="P46" s="8">
        <v>53.189656734372996</v>
      </c>
      <c r="Q46" s="8">
        <f t="shared" si="4"/>
        <v>52.64699999808515</v>
      </c>
      <c r="R46" s="8">
        <f t="shared" si="5"/>
        <v>52.539656734372997</v>
      </c>
    </row>
    <row r="47" spans="1:18">
      <c r="A47" s="10" t="s">
        <v>82</v>
      </c>
      <c r="B47" s="10" t="s">
        <v>78</v>
      </c>
      <c r="C47" s="10" t="s">
        <v>26</v>
      </c>
      <c r="D47" s="11" t="s">
        <v>83</v>
      </c>
      <c r="E47" s="10">
        <v>14714.76</v>
      </c>
      <c r="F47" s="10">
        <v>14718.76</v>
      </c>
      <c r="G47" s="10">
        <v>14078.09496924664</v>
      </c>
      <c r="H47" s="10">
        <v>14082.095857344393</v>
      </c>
      <c r="I47" s="10">
        <v>0.65</v>
      </c>
      <c r="J47" s="10">
        <v>0.4</v>
      </c>
      <c r="K47" s="10">
        <v>0</v>
      </c>
      <c r="L47" s="10">
        <f t="shared" si="3"/>
        <v>0.4</v>
      </c>
      <c r="M47" s="10"/>
      <c r="N47" s="10">
        <v>2</v>
      </c>
      <c r="O47" s="10">
        <v>53.189656734372996</v>
      </c>
      <c r="P47" s="10">
        <v>53.187253437372121</v>
      </c>
      <c r="Q47" s="10">
        <f t="shared" si="4"/>
        <v>52.539656734372997</v>
      </c>
      <c r="R47" s="10">
        <f t="shared" si="5"/>
        <v>52.537253437372122</v>
      </c>
    </row>
    <row r="48" spans="1:18">
      <c r="A48" s="10" t="s">
        <v>84</v>
      </c>
      <c r="B48" s="10" t="s">
        <v>78</v>
      </c>
      <c r="C48" s="10" t="s">
        <v>26</v>
      </c>
      <c r="D48" s="10" t="s">
        <v>23</v>
      </c>
      <c r="E48" s="10">
        <v>14718.76</v>
      </c>
      <c r="F48" s="10">
        <v>14721</v>
      </c>
      <c r="G48" s="10">
        <v>14082.095857344393</v>
      </c>
      <c r="H48" s="10">
        <v>14084.336354679135</v>
      </c>
      <c r="I48" s="10">
        <v>0.65</v>
      </c>
      <c r="J48" s="10">
        <v>0.4</v>
      </c>
      <c r="K48" s="10">
        <v>0</v>
      </c>
      <c r="L48" s="10">
        <f t="shared" si="3"/>
        <v>0.4</v>
      </c>
      <c r="M48" s="10">
        <v>1</v>
      </c>
      <c r="N48" s="10">
        <v>2</v>
      </c>
      <c r="O48" s="10">
        <v>53.187253437372121</v>
      </c>
      <c r="P48" s="10">
        <v>53.185907591051631</v>
      </c>
      <c r="Q48" s="10">
        <f t="shared" si="4"/>
        <v>52.537253437372122</v>
      </c>
      <c r="R48" s="10">
        <f t="shared" si="5"/>
        <v>52.535907591051632</v>
      </c>
    </row>
    <row r="49" spans="1:18">
      <c r="A49" s="10" t="s">
        <v>85</v>
      </c>
      <c r="B49" s="10" t="s">
        <v>78</v>
      </c>
      <c r="C49" s="10" t="s">
        <v>26</v>
      </c>
      <c r="D49" s="11" t="s">
        <v>86</v>
      </c>
      <c r="E49" s="10">
        <v>14721</v>
      </c>
      <c r="F49" s="10">
        <v>14729</v>
      </c>
      <c r="G49" s="10">
        <v>14084.336354679135</v>
      </c>
      <c r="H49" s="10">
        <v>14092.338130874641</v>
      </c>
      <c r="I49" s="10">
        <v>0.65</v>
      </c>
      <c r="J49" s="10">
        <v>0.4</v>
      </c>
      <c r="K49" s="10">
        <v>0</v>
      </c>
      <c r="L49" s="10">
        <f t="shared" si="3"/>
        <v>0.4</v>
      </c>
      <c r="M49" s="10"/>
      <c r="N49" s="10">
        <v>2</v>
      </c>
      <c r="O49" s="10">
        <v>53.185907591051631</v>
      </c>
      <c r="P49" s="10">
        <v>53.181100997049874</v>
      </c>
      <c r="Q49" s="10">
        <f t="shared" si="4"/>
        <v>52.535907591051632</v>
      </c>
      <c r="R49" s="10">
        <f t="shared" si="5"/>
        <v>52.531100997049876</v>
      </c>
    </row>
    <row r="50" spans="1:18">
      <c r="A50" s="10" t="s">
        <v>87</v>
      </c>
      <c r="B50" s="10" t="s">
        <v>78</v>
      </c>
      <c r="C50" s="10" t="s">
        <v>26</v>
      </c>
      <c r="D50" s="10" t="s">
        <v>23</v>
      </c>
      <c r="E50" s="10">
        <v>14729</v>
      </c>
      <c r="F50" s="10">
        <v>14737.489999999963</v>
      </c>
      <c r="G50" s="10">
        <v>14092.338130874641</v>
      </c>
      <c r="H50" s="10">
        <v>14100.830015862086</v>
      </c>
      <c r="I50" s="10">
        <v>0.65</v>
      </c>
      <c r="J50" s="10">
        <v>0.4</v>
      </c>
      <c r="K50" s="10">
        <v>0</v>
      </c>
      <c r="L50" s="10">
        <f t="shared" si="3"/>
        <v>0.4</v>
      </c>
      <c r="M50" s="10">
        <v>1</v>
      </c>
      <c r="N50" s="10">
        <v>2</v>
      </c>
      <c r="O50" s="10">
        <v>53.181100997049874</v>
      </c>
      <c r="P50" s="10">
        <v>53.175999999165533</v>
      </c>
      <c r="Q50" s="10">
        <f t="shared" si="4"/>
        <v>52.531100997049876</v>
      </c>
      <c r="R50" s="10">
        <f t="shared" si="5"/>
        <v>52.525999999165535</v>
      </c>
    </row>
    <row r="51" spans="1:18">
      <c r="A51" s="10" t="s">
        <v>88</v>
      </c>
      <c r="B51" s="10" t="s">
        <v>78</v>
      </c>
      <c r="C51" s="10" t="s">
        <v>30</v>
      </c>
      <c r="D51" s="10" t="s">
        <v>27</v>
      </c>
      <c r="E51" s="10">
        <v>14784.99</v>
      </c>
      <c r="F51" s="10">
        <v>15329</v>
      </c>
      <c r="G51" s="10">
        <v>14148.389132869655</v>
      </c>
      <c r="H51" s="10">
        <v>14692.478042504257</v>
      </c>
      <c r="I51" s="10">
        <v>1.6</v>
      </c>
      <c r="J51" s="10">
        <v>1</v>
      </c>
      <c r="K51" s="10">
        <v>0.5</v>
      </c>
      <c r="L51" s="10">
        <f t="shared" si="3"/>
        <v>2.6</v>
      </c>
      <c r="M51" s="10">
        <v>3.2000000000000015</v>
      </c>
      <c r="N51" s="10"/>
      <c r="O51" s="10">
        <v>53.128</v>
      </c>
      <c r="P51" s="10">
        <v>53.342509074316411</v>
      </c>
      <c r="Q51" s="10">
        <f t="shared" si="4"/>
        <v>51.527999999999999</v>
      </c>
      <c r="R51" s="10">
        <f t="shared" si="5"/>
        <v>51.742509074316409</v>
      </c>
    </row>
    <row r="52" spans="1:18">
      <c r="A52" s="10" t="s">
        <v>89</v>
      </c>
      <c r="B52" s="10" t="s">
        <v>78</v>
      </c>
      <c r="C52" s="10" t="s">
        <v>30</v>
      </c>
      <c r="D52" s="11" t="s">
        <v>90</v>
      </c>
      <c r="E52" s="10">
        <v>15329</v>
      </c>
      <c r="F52" s="10">
        <v>15365.75</v>
      </c>
      <c r="G52" s="10">
        <v>14692.478042504257</v>
      </c>
      <c r="H52" s="10">
        <v>14729.233373158237</v>
      </c>
      <c r="I52" s="10">
        <v>1</v>
      </c>
      <c r="J52" s="10">
        <v>1</v>
      </c>
      <c r="K52" s="10">
        <v>0</v>
      </c>
      <c r="L52" s="10">
        <f t="shared" si="3"/>
        <v>1</v>
      </c>
      <c r="M52" s="10"/>
      <c r="N52" s="10"/>
      <c r="O52" s="10">
        <v>53.342509074316411</v>
      </c>
      <c r="P52" s="10">
        <v>53.356999999999999</v>
      </c>
      <c r="Q52" s="10">
        <f t="shared" si="4"/>
        <v>52.342509074316411</v>
      </c>
      <c r="R52" s="10">
        <f t="shared" si="5"/>
        <v>52.356999999999999</v>
      </c>
    </row>
    <row r="53" spans="1:18">
      <c r="A53" s="10" t="s">
        <v>91</v>
      </c>
      <c r="B53" s="10" t="s">
        <v>92</v>
      </c>
      <c r="C53" s="10" t="s">
        <v>26</v>
      </c>
      <c r="D53" s="10" t="s">
        <v>23</v>
      </c>
      <c r="E53" s="10">
        <v>15529.7</v>
      </c>
      <c r="F53" s="10">
        <v>15755.76</v>
      </c>
      <c r="G53" s="10">
        <v>14893.782941593186</v>
      </c>
      <c r="H53" s="10">
        <v>15120.237970448634</v>
      </c>
      <c r="I53" s="10">
        <v>0.45</v>
      </c>
      <c r="J53" s="10">
        <v>0.4</v>
      </c>
      <c r="K53" s="10">
        <v>0</v>
      </c>
      <c r="L53" s="10">
        <f t="shared" si="3"/>
        <v>0.4</v>
      </c>
      <c r="M53" s="10">
        <v>1</v>
      </c>
      <c r="N53" s="10">
        <v>2</v>
      </c>
      <c r="O53" s="10">
        <v>52.545999999999999</v>
      </c>
      <c r="P53" s="10">
        <v>51.943000000000005</v>
      </c>
      <c r="Q53" s="10">
        <f t="shared" si="4"/>
        <v>52.095999999999997</v>
      </c>
      <c r="R53" s="10">
        <f t="shared" si="5"/>
        <v>51.493000000000002</v>
      </c>
    </row>
    <row r="54" spans="1:18">
      <c r="A54" s="10" t="s">
        <v>93</v>
      </c>
      <c r="B54" s="10" t="s">
        <v>94</v>
      </c>
      <c r="C54" s="10" t="s">
        <v>30</v>
      </c>
      <c r="D54" s="10" t="s">
        <v>27</v>
      </c>
      <c r="E54" s="10">
        <v>15884.16</v>
      </c>
      <c r="F54" s="10">
        <v>16509.46</v>
      </c>
      <c r="G54" s="10">
        <v>15248.670888309975</v>
      </c>
      <c r="H54" s="10">
        <v>15875.884450883636</v>
      </c>
      <c r="I54" s="10">
        <v>1.3</v>
      </c>
      <c r="J54" s="10">
        <v>0.8</v>
      </c>
      <c r="K54" s="10">
        <v>0.5</v>
      </c>
      <c r="L54" s="10">
        <f t="shared" si="3"/>
        <v>2.1</v>
      </c>
      <c r="M54" s="10">
        <v>2.6999999999999971</v>
      </c>
      <c r="N54" s="10"/>
      <c r="O54" s="10">
        <v>50.734000000000002</v>
      </c>
      <c r="P54" s="10">
        <v>50.244015671975951</v>
      </c>
      <c r="Q54" s="10">
        <f t="shared" si="4"/>
        <v>49.434000000000005</v>
      </c>
      <c r="R54" s="10">
        <f t="shared" si="5"/>
        <v>48.944015671975954</v>
      </c>
    </row>
    <row r="55" spans="1:18">
      <c r="A55" s="10" t="s">
        <v>95</v>
      </c>
      <c r="B55" s="10" t="s">
        <v>94</v>
      </c>
      <c r="C55" s="10" t="s">
        <v>30</v>
      </c>
      <c r="D55" s="10" t="s">
        <v>27</v>
      </c>
      <c r="E55" s="10">
        <v>16509.5</v>
      </c>
      <c r="F55" s="10">
        <v>16625.189999999999</v>
      </c>
      <c r="G55" s="10">
        <v>15875.954134137712</v>
      </c>
      <c r="H55" s="10">
        <v>15991.65909124089</v>
      </c>
      <c r="I55" s="10">
        <v>1.3</v>
      </c>
      <c r="J55" s="10">
        <v>0.7</v>
      </c>
      <c r="K55" s="10">
        <v>0.5</v>
      </c>
      <c r="L55" s="10">
        <f t="shared" si="3"/>
        <v>2</v>
      </c>
      <c r="M55" s="10">
        <v>2.599999999999997</v>
      </c>
      <c r="N55" s="10"/>
      <c r="O55" s="10">
        <v>50.243838734767948</v>
      </c>
      <c r="P55" s="10">
        <v>49.311</v>
      </c>
      <c r="Q55" s="10">
        <f t="shared" si="4"/>
        <v>48.943838734767951</v>
      </c>
      <c r="R55" s="10">
        <f t="shared" si="5"/>
        <v>48.011000000000003</v>
      </c>
    </row>
    <row r="56" spans="1:18">
      <c r="A56" s="10" t="s">
        <v>96</v>
      </c>
      <c r="B56" s="10" t="s">
        <v>94</v>
      </c>
      <c r="C56" s="10" t="s">
        <v>30</v>
      </c>
      <c r="D56" s="10" t="s">
        <v>27</v>
      </c>
      <c r="E56" s="10">
        <v>16701.09</v>
      </c>
      <c r="F56" s="10">
        <v>16862.739999999998</v>
      </c>
      <c r="G56" s="10">
        <v>16068.652458007504</v>
      </c>
      <c r="H56" s="10">
        <v>16233.817295555369</v>
      </c>
      <c r="I56" s="10">
        <v>0.8</v>
      </c>
      <c r="J56" s="10">
        <v>0.6</v>
      </c>
      <c r="K56" s="10">
        <v>0.5</v>
      </c>
      <c r="L56" s="10">
        <f t="shared" si="3"/>
        <v>1.4</v>
      </c>
      <c r="M56" s="10">
        <v>1.9999999999999973</v>
      </c>
      <c r="N56" s="10"/>
      <c r="O56" s="10">
        <v>50.213999999999999</v>
      </c>
      <c r="P56" s="10">
        <v>50.465968825385048</v>
      </c>
      <c r="Q56" s="10">
        <f t="shared" si="4"/>
        <v>49.414000000000001</v>
      </c>
      <c r="R56" s="10">
        <f t="shared" si="5"/>
        <v>49.66596882538505</v>
      </c>
    </row>
    <row r="57" spans="1:18">
      <c r="A57" s="10" t="s">
        <v>97</v>
      </c>
      <c r="B57" s="10" t="s">
        <v>98</v>
      </c>
      <c r="C57" s="10" t="s">
        <v>30</v>
      </c>
      <c r="D57" s="10" t="s">
        <v>27</v>
      </c>
      <c r="E57" s="10">
        <v>16862.78</v>
      </c>
      <c r="F57" s="10">
        <v>17240.34</v>
      </c>
      <c r="G57" s="10">
        <v>16233.932889425014</v>
      </c>
      <c r="H57" s="10">
        <v>16619.527519462084</v>
      </c>
      <c r="I57" s="10">
        <v>1</v>
      </c>
      <c r="J57" s="10">
        <v>0.6</v>
      </c>
      <c r="K57" s="10">
        <v>0.5</v>
      </c>
      <c r="L57" s="10">
        <f t="shared" si="3"/>
        <v>1.6</v>
      </c>
      <c r="M57" s="10">
        <v>2.2000000000000002</v>
      </c>
      <c r="N57" s="10"/>
      <c r="O57" s="10">
        <v>50.465988559322035</v>
      </c>
      <c r="P57" s="10">
        <v>50.250011440677966</v>
      </c>
      <c r="Q57" s="10">
        <f t="shared" si="4"/>
        <v>49.465988559322035</v>
      </c>
      <c r="R57" s="10">
        <f t="shared" si="5"/>
        <v>49.250011440677966</v>
      </c>
    </row>
    <row r="58" spans="1:18">
      <c r="A58" s="10" t="s">
        <v>99</v>
      </c>
      <c r="B58" s="10" t="s">
        <v>98</v>
      </c>
      <c r="C58" s="10" t="s">
        <v>30</v>
      </c>
      <c r="D58" s="10" t="s">
        <v>27</v>
      </c>
      <c r="E58" s="10">
        <v>17240.38</v>
      </c>
      <c r="F58" s="10">
        <v>17619.189999999999</v>
      </c>
      <c r="G58" s="10">
        <v>16619.599155263975</v>
      </c>
      <c r="H58" s="10">
        <v>17006.712738315935</v>
      </c>
      <c r="I58" s="10">
        <v>1.2</v>
      </c>
      <c r="J58" s="10">
        <v>0.7</v>
      </c>
      <c r="K58" s="10">
        <v>0.5</v>
      </c>
      <c r="L58" s="10">
        <f t="shared" si="3"/>
        <v>1.9</v>
      </c>
      <c r="M58" s="10">
        <v>2.5000000000000027</v>
      </c>
      <c r="N58" s="10"/>
      <c r="O58" s="10">
        <v>50.24992482512868</v>
      </c>
      <c r="P58" s="10">
        <v>48.82607517487132</v>
      </c>
      <c r="Q58" s="10">
        <f t="shared" si="4"/>
        <v>49.049924825128677</v>
      </c>
      <c r="R58" s="10">
        <f t="shared" si="5"/>
        <v>47.626075174871318</v>
      </c>
    </row>
    <row r="59" spans="1:18">
      <c r="A59" s="10" t="s">
        <v>100</v>
      </c>
      <c r="B59" s="10" t="s">
        <v>98</v>
      </c>
      <c r="C59" s="10" t="s">
        <v>30</v>
      </c>
      <c r="D59" s="10" t="s">
        <v>27</v>
      </c>
      <c r="E59" s="10">
        <v>17619.23</v>
      </c>
      <c r="F59" s="10">
        <v>18219.240000000002</v>
      </c>
      <c r="G59" s="10">
        <v>17007.019605803678</v>
      </c>
      <c r="H59" s="10">
        <v>17614.150281609549</v>
      </c>
      <c r="I59" s="10">
        <v>1.6</v>
      </c>
      <c r="J59" s="10">
        <v>0.9</v>
      </c>
      <c r="K59" s="10">
        <v>0.5</v>
      </c>
      <c r="L59" s="10">
        <f t="shared" si="3"/>
        <v>2.5</v>
      </c>
      <c r="M59" s="10">
        <v>3.0999999999999943</v>
      </c>
      <c r="N59" s="10"/>
      <c r="O59" s="10">
        <v>48.824972501374937</v>
      </c>
      <c r="P59" s="10">
        <v>48</v>
      </c>
      <c r="Q59" s="10">
        <f t="shared" si="4"/>
        <v>47.224972501374936</v>
      </c>
      <c r="R59" s="10">
        <f t="shared" si="5"/>
        <v>46.4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9759A"/>
  </sheetPr>
  <dimension ref="A1:R59"/>
  <sheetViews>
    <sheetView showGridLines="0" workbookViewId="0">
      <pane ySplit="1" topLeftCell="A2" activePane="bottomLeft" state="frozen"/>
      <selection pane="bottomLeft" activeCell="A4" sqref="A4"/>
    </sheetView>
  </sheetViews>
  <sheetFormatPr defaultRowHeight="14"/>
  <cols>
    <col min="1" max="1" width="21" customWidth="1"/>
    <col min="2" max="2" width="10" customWidth="1"/>
    <col min="3" max="3" width="22" customWidth="1"/>
    <col min="4" max="4" width="20" customWidth="1"/>
    <col min="5" max="6" width="18" customWidth="1"/>
    <col min="7" max="8" width="20" customWidth="1"/>
    <col min="9" max="9" width="11" customWidth="1"/>
    <col min="10" max="10" width="13" customWidth="1"/>
    <col min="11" max="11" width="12" customWidth="1"/>
    <col min="12" max="13" width="16" customWidth="1"/>
    <col min="14" max="14" width="15" customWidth="1"/>
    <col min="15" max="16" width="13" customWidth="1"/>
    <col min="17" max="18" width="15" customWidth="1"/>
  </cols>
  <sheetData>
    <row r="1" spans="1:18" ht="3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3" customHeight="1">
      <c r="A2" s="1" t="s">
        <v>101</v>
      </c>
      <c r="B2" s="1" t="s">
        <v>19</v>
      </c>
      <c r="C2" s="1" t="s">
        <v>20</v>
      </c>
      <c r="D2" s="1" t="s">
        <v>21</v>
      </c>
      <c r="E2" s="3">
        <v>683.28</v>
      </c>
      <c r="F2" s="3">
        <v>2250.9699999999998</v>
      </c>
      <c r="G2" s="3">
        <v>0</v>
      </c>
      <c r="H2" s="3">
        <v>1563.7428640050507</v>
      </c>
      <c r="I2" s="3">
        <v>0.95</v>
      </c>
      <c r="J2" s="3">
        <v>0.5</v>
      </c>
      <c r="K2" s="3">
        <v>0</v>
      </c>
      <c r="L2" s="3">
        <f t="shared" ref="L2:L33" si="0">J2+2*K2*I2</f>
        <v>0.5</v>
      </c>
      <c r="M2" s="3">
        <v>1.1000000000000001</v>
      </c>
      <c r="N2" s="3"/>
      <c r="O2" s="3">
        <v>47.134056385174532</v>
      </c>
      <c r="P2" s="3">
        <v>48.238993270046052</v>
      </c>
      <c r="Q2" s="3">
        <f t="shared" ref="Q2:Q33" si="1">O2-I2</f>
        <v>46.184056385174529</v>
      </c>
      <c r="R2" s="3">
        <f t="shared" ref="R2:R33" si="2">P2-I2</f>
        <v>47.288993270046049</v>
      </c>
    </row>
    <row r="3" spans="1:18" ht="23" customHeight="1">
      <c r="A3" s="1" t="s">
        <v>102</v>
      </c>
      <c r="B3" s="1" t="s">
        <v>19</v>
      </c>
      <c r="C3" s="1" t="s">
        <v>20</v>
      </c>
      <c r="D3" s="1" t="s">
        <v>23</v>
      </c>
      <c r="E3" s="3">
        <v>2251.0099999999998</v>
      </c>
      <c r="F3" s="3">
        <v>2526.56</v>
      </c>
      <c r="G3" s="3">
        <v>1563.8140798122847</v>
      </c>
      <c r="H3" s="3">
        <v>1839.3590827431287</v>
      </c>
      <c r="I3" s="3">
        <v>0.5</v>
      </c>
      <c r="J3" s="3">
        <v>0.4</v>
      </c>
      <c r="K3" s="3">
        <v>0</v>
      </c>
      <c r="L3" s="3">
        <f t="shared" si="0"/>
        <v>0.4</v>
      </c>
      <c r="M3" s="3">
        <v>1</v>
      </c>
      <c r="N3" s="3"/>
      <c r="O3" s="3">
        <v>48.239081030572443</v>
      </c>
      <c r="P3" s="3">
        <v>49.253988950376488</v>
      </c>
      <c r="Q3" s="3">
        <f t="shared" si="1"/>
        <v>47.739081030572443</v>
      </c>
      <c r="R3" s="3">
        <f t="shared" si="2"/>
        <v>48.753988950376488</v>
      </c>
    </row>
    <row r="4" spans="1:18" ht="23" customHeight="1">
      <c r="A4" s="1" t="s">
        <v>103</v>
      </c>
      <c r="B4" s="1" t="s">
        <v>25</v>
      </c>
      <c r="C4" s="1" t="s">
        <v>26</v>
      </c>
      <c r="D4" s="1" t="s">
        <v>21</v>
      </c>
      <c r="E4" s="3">
        <v>2529.6900000000373</v>
      </c>
      <c r="F4" s="3">
        <v>2555.5300000000743</v>
      </c>
      <c r="G4" s="3">
        <v>1843.1343342737707</v>
      </c>
      <c r="H4" s="3">
        <v>1868.9596169547738</v>
      </c>
      <c r="I4" s="3">
        <v>1.05</v>
      </c>
      <c r="J4" s="3">
        <v>0.5</v>
      </c>
      <c r="K4" s="3">
        <v>0</v>
      </c>
      <c r="L4" s="3">
        <f t="shared" si="0"/>
        <v>0.5</v>
      </c>
      <c r="M4" s="3">
        <v>1.1000000000000001</v>
      </c>
      <c r="N4" s="3">
        <v>2</v>
      </c>
      <c r="O4" s="3">
        <v>48.383101590715349</v>
      </c>
      <c r="P4" s="3">
        <v>48.512101627212878</v>
      </c>
      <c r="Q4" s="3">
        <f t="shared" si="1"/>
        <v>47.333101590715351</v>
      </c>
      <c r="R4" s="3">
        <f t="shared" si="2"/>
        <v>47.462101627212881</v>
      </c>
    </row>
    <row r="5" spans="1:18" ht="23" customHeight="1">
      <c r="A5" s="1" t="s">
        <v>104</v>
      </c>
      <c r="B5" s="1" t="s">
        <v>25</v>
      </c>
      <c r="C5" s="1" t="s">
        <v>26</v>
      </c>
      <c r="D5" s="1" t="s">
        <v>54</v>
      </c>
      <c r="E5" s="3">
        <v>2555.530000000037</v>
      </c>
      <c r="F5" s="3">
        <v>3105.2900000000373</v>
      </c>
      <c r="G5" s="3">
        <v>1869.0793526166806</v>
      </c>
      <c r="H5" s="3">
        <v>2419.5920662299768</v>
      </c>
      <c r="I5" s="3">
        <v>0.95</v>
      </c>
      <c r="J5" s="3">
        <v>0.8</v>
      </c>
      <c r="K5" s="3">
        <v>0</v>
      </c>
      <c r="L5" s="3">
        <f t="shared" si="0"/>
        <v>0.8</v>
      </c>
      <c r="M5" s="3">
        <v>1.4</v>
      </c>
      <c r="N5" s="3">
        <v>2</v>
      </c>
      <c r="O5" s="3">
        <v>48.512101627092214</v>
      </c>
      <c r="P5" s="3">
        <v>48.513101554338476</v>
      </c>
      <c r="Q5" s="3">
        <f t="shared" si="1"/>
        <v>47.562101627092211</v>
      </c>
      <c r="R5" s="3">
        <f t="shared" si="2"/>
        <v>47.563101554338473</v>
      </c>
    </row>
    <row r="6" spans="1:18" ht="23" customHeight="1">
      <c r="A6" s="1" t="s">
        <v>105</v>
      </c>
      <c r="B6" s="1" t="s">
        <v>25</v>
      </c>
      <c r="C6" s="1" t="s">
        <v>30</v>
      </c>
      <c r="D6" s="1" t="s">
        <v>23</v>
      </c>
      <c r="E6" s="3">
        <v>3105.29</v>
      </c>
      <c r="F6" s="3">
        <v>3473.92</v>
      </c>
      <c r="G6" s="3">
        <v>2419.8641124958249</v>
      </c>
      <c r="H6" s="3">
        <v>2788.5801688548977</v>
      </c>
      <c r="I6" s="3">
        <v>0.65</v>
      </c>
      <c r="J6" s="3">
        <v>0.4</v>
      </c>
      <c r="K6" s="3">
        <v>0</v>
      </c>
      <c r="L6" s="3">
        <f t="shared" si="0"/>
        <v>0.4</v>
      </c>
      <c r="M6" s="3">
        <v>1</v>
      </c>
      <c r="N6" s="3"/>
      <c r="O6" s="3">
        <v>48.51310155423549</v>
      </c>
      <c r="P6" s="3">
        <v>50.384898445764506</v>
      </c>
      <c r="Q6" s="3">
        <f t="shared" si="1"/>
        <v>47.863101554235492</v>
      </c>
      <c r="R6" s="3">
        <f t="shared" si="2"/>
        <v>49.734898445764507</v>
      </c>
    </row>
    <row r="7" spans="1:18" ht="23" customHeight="1">
      <c r="A7" s="1" t="s">
        <v>106</v>
      </c>
      <c r="B7" s="1" t="s">
        <v>25</v>
      </c>
      <c r="C7" s="1" t="s">
        <v>30</v>
      </c>
      <c r="D7" s="1" t="s">
        <v>23</v>
      </c>
      <c r="E7" s="3">
        <v>3473.96</v>
      </c>
      <c r="F7" s="3">
        <v>3628.12</v>
      </c>
      <c r="G7" s="3">
        <v>2788.6201688533979</v>
      </c>
      <c r="H7" s="3">
        <v>2942.7884606816497</v>
      </c>
      <c r="I7" s="3">
        <v>0.65</v>
      </c>
      <c r="J7" s="3">
        <v>0.4</v>
      </c>
      <c r="K7" s="3">
        <v>0</v>
      </c>
      <c r="L7" s="3">
        <f t="shared" si="0"/>
        <v>0.4</v>
      </c>
      <c r="M7" s="3">
        <v>1</v>
      </c>
      <c r="N7" s="3"/>
      <c r="O7" s="3">
        <v>50.388098885047953</v>
      </c>
      <c r="P7" s="3">
        <v>51.150304834704706</v>
      </c>
      <c r="Q7" s="3">
        <f t="shared" si="1"/>
        <v>49.738098885047954</v>
      </c>
      <c r="R7" s="3">
        <f t="shared" si="2"/>
        <v>50.500304834704707</v>
      </c>
    </row>
    <row r="8" spans="1:18" ht="32" customHeight="1">
      <c r="A8" s="1" t="s">
        <v>107</v>
      </c>
      <c r="B8" s="1" t="s">
        <v>25</v>
      </c>
      <c r="C8" s="1" t="s">
        <v>30</v>
      </c>
      <c r="D8" s="4" t="s">
        <v>33</v>
      </c>
      <c r="E8" s="3">
        <v>3628.12</v>
      </c>
      <c r="F8" s="3">
        <v>3668.12</v>
      </c>
      <c r="G8" s="3">
        <v>2942.7884606816497</v>
      </c>
      <c r="H8" s="3">
        <v>2982.790612167963</v>
      </c>
      <c r="I8" s="3">
        <v>0.4</v>
      </c>
      <c r="J8" s="3">
        <v>0.4</v>
      </c>
      <c r="K8" s="3">
        <v>0</v>
      </c>
      <c r="L8" s="3">
        <f t="shared" si="0"/>
        <v>0.4</v>
      </c>
      <c r="M8" s="3"/>
      <c r="N8" s="3"/>
      <c r="O8" s="3">
        <v>51.150304834704706</v>
      </c>
      <c r="P8" s="3">
        <v>51.348074930619795</v>
      </c>
      <c r="Q8" s="3">
        <f t="shared" si="1"/>
        <v>50.750304834704707</v>
      </c>
      <c r="R8" s="3">
        <f t="shared" si="2"/>
        <v>50.948074930619796</v>
      </c>
    </row>
    <row r="9" spans="1:18" ht="23" customHeight="1">
      <c r="A9" s="1" t="s">
        <v>108</v>
      </c>
      <c r="B9" s="1" t="s">
        <v>25</v>
      </c>
      <c r="C9" s="1" t="s">
        <v>30</v>
      </c>
      <c r="D9" s="1" t="s">
        <v>23</v>
      </c>
      <c r="E9" s="3">
        <v>3668.12</v>
      </c>
      <c r="F9" s="3">
        <v>3884.7</v>
      </c>
      <c r="G9" s="3">
        <v>2982.790612167963</v>
      </c>
      <c r="H9" s="3">
        <v>3199.3822613906073</v>
      </c>
      <c r="I9" s="3">
        <v>0.65</v>
      </c>
      <c r="J9" s="3">
        <v>0.4</v>
      </c>
      <c r="K9" s="3">
        <v>0</v>
      </c>
      <c r="L9" s="3">
        <f t="shared" si="0"/>
        <v>0.4</v>
      </c>
      <c r="M9" s="3">
        <v>1</v>
      </c>
      <c r="N9" s="3"/>
      <c r="O9" s="3">
        <v>51.348074930619795</v>
      </c>
      <c r="P9" s="3">
        <v>52.418901114952043</v>
      </c>
      <c r="Q9" s="3">
        <f t="shared" si="1"/>
        <v>50.698074930619796</v>
      </c>
      <c r="R9" s="3">
        <f t="shared" si="2"/>
        <v>51.768901114952044</v>
      </c>
    </row>
    <row r="10" spans="1:18" ht="23" customHeight="1">
      <c r="A10" s="1" t="s">
        <v>109</v>
      </c>
      <c r="B10" s="1" t="s">
        <v>25</v>
      </c>
      <c r="C10" s="1" t="s">
        <v>30</v>
      </c>
      <c r="D10" s="1" t="s">
        <v>23</v>
      </c>
      <c r="E10" s="3">
        <v>3884.74</v>
      </c>
      <c r="F10" s="3">
        <v>5049.1000000000004</v>
      </c>
      <c r="G10" s="3">
        <v>3199.4222613891075</v>
      </c>
      <c r="H10" s="3">
        <v>4346.7643119673494</v>
      </c>
      <c r="I10" s="3">
        <v>0.55000000000000004</v>
      </c>
      <c r="J10" s="3">
        <v>0.4</v>
      </c>
      <c r="K10" s="3">
        <v>0</v>
      </c>
      <c r="L10" s="3">
        <f t="shared" si="0"/>
        <v>0.4</v>
      </c>
      <c r="M10" s="3">
        <v>1</v>
      </c>
      <c r="N10" s="3"/>
      <c r="O10" s="3">
        <v>52.419070337862209</v>
      </c>
      <c r="P10" s="3">
        <v>56.514000000000003</v>
      </c>
      <c r="Q10" s="3">
        <f t="shared" si="1"/>
        <v>51.869070337862212</v>
      </c>
      <c r="R10" s="3">
        <f t="shared" si="2"/>
        <v>55.964000000000006</v>
      </c>
    </row>
    <row r="11" spans="1:18" ht="23" customHeight="1">
      <c r="A11" s="1" t="s">
        <v>110</v>
      </c>
      <c r="B11" s="1" t="s">
        <v>37</v>
      </c>
      <c r="C11" s="1" t="s">
        <v>30</v>
      </c>
      <c r="D11" s="1" t="s">
        <v>23</v>
      </c>
      <c r="E11" s="3">
        <v>5377.17</v>
      </c>
      <c r="F11" s="3">
        <v>5733.1799999999994</v>
      </c>
      <c r="G11" s="3">
        <v>4667.3129376678789</v>
      </c>
      <c r="H11" s="3">
        <v>5017.6478143210761</v>
      </c>
      <c r="I11" s="3">
        <v>0.45</v>
      </c>
      <c r="J11" s="3">
        <v>0.4</v>
      </c>
      <c r="K11" s="3">
        <v>0</v>
      </c>
      <c r="L11" s="3">
        <f t="shared" si="0"/>
        <v>0.4</v>
      </c>
      <c r="M11" s="3">
        <v>1</v>
      </c>
      <c r="N11" s="3"/>
      <c r="O11" s="3">
        <v>55.75</v>
      </c>
      <c r="P11" s="3">
        <v>55.05103926635396</v>
      </c>
      <c r="Q11" s="3">
        <f t="shared" si="1"/>
        <v>55.3</v>
      </c>
      <c r="R11" s="3">
        <f t="shared" si="2"/>
        <v>54.601039266353958</v>
      </c>
    </row>
    <row r="12" spans="1:18" ht="23" customHeight="1">
      <c r="A12" s="1" t="s">
        <v>111</v>
      </c>
      <c r="B12" s="1" t="s">
        <v>37</v>
      </c>
      <c r="C12" s="1" t="s">
        <v>26</v>
      </c>
      <c r="D12" s="1" t="s">
        <v>23</v>
      </c>
      <c r="E12" s="3">
        <v>5733.22</v>
      </c>
      <c r="F12" s="3">
        <v>6280.9299999999994</v>
      </c>
      <c r="G12" s="3">
        <v>5017.7353505621404</v>
      </c>
      <c r="H12" s="3">
        <v>5561.7583620900186</v>
      </c>
      <c r="I12" s="3">
        <v>0.85</v>
      </c>
      <c r="J12" s="3">
        <v>0.4</v>
      </c>
      <c r="K12" s="3">
        <v>0</v>
      </c>
      <c r="L12" s="3">
        <f t="shared" si="0"/>
        <v>0.4</v>
      </c>
      <c r="M12" s="3">
        <v>1</v>
      </c>
      <c r="N12" s="3">
        <v>2</v>
      </c>
      <c r="O12" s="3">
        <v>55.050990141487908</v>
      </c>
      <c r="P12" s="3">
        <v>54.781009858512093</v>
      </c>
      <c r="Q12" s="3">
        <f t="shared" si="1"/>
        <v>54.200990141487907</v>
      </c>
      <c r="R12" s="3">
        <f t="shared" si="2"/>
        <v>53.931009858512091</v>
      </c>
    </row>
    <row r="13" spans="1:18" ht="23" customHeight="1">
      <c r="A13" s="1" t="s">
        <v>112</v>
      </c>
      <c r="B13" s="1" t="s">
        <v>37</v>
      </c>
      <c r="C13" s="1" t="s">
        <v>26</v>
      </c>
      <c r="D13" s="1" t="s">
        <v>23</v>
      </c>
      <c r="E13" s="3">
        <v>6280.97</v>
      </c>
      <c r="F13" s="3">
        <v>6283.89</v>
      </c>
      <c r="G13" s="3">
        <v>5561.9672408529632</v>
      </c>
      <c r="H13" s="3">
        <v>5564.8872479179518</v>
      </c>
      <c r="I13" s="3">
        <v>0.75</v>
      </c>
      <c r="J13" s="3">
        <v>0.4</v>
      </c>
      <c r="K13" s="3">
        <v>0</v>
      </c>
      <c r="L13" s="3">
        <f t="shared" si="0"/>
        <v>0.4</v>
      </c>
      <c r="M13" s="3">
        <v>1</v>
      </c>
      <c r="N13" s="3">
        <v>2</v>
      </c>
      <c r="O13" s="3">
        <v>54.680969520816966</v>
      </c>
      <c r="P13" s="3">
        <v>54.676519560094263</v>
      </c>
      <c r="Q13" s="3">
        <f t="shared" si="1"/>
        <v>53.930969520816966</v>
      </c>
      <c r="R13" s="3">
        <f t="shared" si="2"/>
        <v>53.926519560094263</v>
      </c>
    </row>
    <row r="14" spans="1:18" ht="32" customHeight="1">
      <c r="A14" s="1" t="s">
        <v>113</v>
      </c>
      <c r="B14" s="1" t="s">
        <v>37</v>
      </c>
      <c r="C14" s="1" t="s">
        <v>26</v>
      </c>
      <c r="D14" s="4" t="s">
        <v>41</v>
      </c>
      <c r="E14" s="3">
        <v>6283.89</v>
      </c>
      <c r="F14" s="3">
        <v>6297.39</v>
      </c>
      <c r="G14" s="3">
        <v>5564.8872479179518</v>
      </c>
      <c r="H14" s="3">
        <v>5578.3872805814281</v>
      </c>
      <c r="I14" s="3">
        <v>0.75</v>
      </c>
      <c r="J14" s="3">
        <v>0.4</v>
      </c>
      <c r="K14" s="3">
        <v>0</v>
      </c>
      <c r="L14" s="3">
        <f t="shared" si="0"/>
        <v>0.4</v>
      </c>
      <c r="M14" s="3"/>
      <c r="N14" s="3">
        <v>2</v>
      </c>
      <c r="O14" s="3">
        <v>54.676519560094263</v>
      </c>
      <c r="P14" s="3">
        <v>54.655946111547522</v>
      </c>
      <c r="Q14" s="3">
        <f t="shared" si="1"/>
        <v>53.926519560094263</v>
      </c>
      <c r="R14" s="3">
        <f t="shared" si="2"/>
        <v>53.905946111547522</v>
      </c>
    </row>
    <row r="15" spans="1:18" ht="23" customHeight="1">
      <c r="A15" s="1" t="s">
        <v>114</v>
      </c>
      <c r="B15" s="1" t="s">
        <v>37</v>
      </c>
      <c r="C15" s="1" t="s">
        <v>26</v>
      </c>
      <c r="D15" s="1" t="s">
        <v>23</v>
      </c>
      <c r="E15" s="3">
        <v>6297.39</v>
      </c>
      <c r="F15" s="3">
        <v>6344.6</v>
      </c>
      <c r="G15" s="3">
        <v>5578.3872805814281</v>
      </c>
      <c r="H15" s="3">
        <v>5625.597394806814</v>
      </c>
      <c r="I15" s="3">
        <v>0.75</v>
      </c>
      <c r="J15" s="3">
        <v>0.4</v>
      </c>
      <c r="K15" s="3">
        <v>0</v>
      </c>
      <c r="L15" s="3">
        <f t="shared" si="0"/>
        <v>0.4</v>
      </c>
      <c r="M15" s="3">
        <v>1</v>
      </c>
      <c r="N15" s="3">
        <v>2</v>
      </c>
      <c r="O15" s="3">
        <v>54.655946111547522</v>
      </c>
      <c r="P15" s="3">
        <v>54.583999999999996</v>
      </c>
      <c r="Q15" s="3">
        <f t="shared" si="1"/>
        <v>53.905946111547522</v>
      </c>
      <c r="R15" s="3">
        <f t="shared" si="2"/>
        <v>53.833999999999996</v>
      </c>
    </row>
    <row r="16" spans="1:18" ht="23" customHeight="1">
      <c r="A16" s="1" t="s">
        <v>115</v>
      </c>
      <c r="B16" s="1" t="s">
        <v>37</v>
      </c>
      <c r="C16" s="1" t="s">
        <v>26</v>
      </c>
      <c r="D16" s="1" t="s">
        <v>23</v>
      </c>
      <c r="E16" s="3">
        <v>6575.8</v>
      </c>
      <c r="F16" s="3">
        <v>6905.25</v>
      </c>
      <c r="G16" s="3">
        <v>5858.0142344286351</v>
      </c>
      <c r="H16" s="3">
        <v>6188.7620398193576</v>
      </c>
      <c r="I16" s="3">
        <v>0.55000000000000004</v>
      </c>
      <c r="J16" s="3">
        <v>0.4</v>
      </c>
      <c r="K16" s="3">
        <v>0</v>
      </c>
      <c r="L16" s="3">
        <f t="shared" si="0"/>
        <v>0.4</v>
      </c>
      <c r="M16" s="3">
        <v>1</v>
      </c>
      <c r="N16" s="3">
        <v>2</v>
      </c>
      <c r="O16" s="3">
        <v>53.151999999999994</v>
      </c>
      <c r="P16" s="3">
        <v>53.323999999999998</v>
      </c>
      <c r="Q16" s="3">
        <f t="shared" si="1"/>
        <v>52.601999999999997</v>
      </c>
      <c r="R16" s="3">
        <f t="shared" si="2"/>
        <v>52.774000000000001</v>
      </c>
    </row>
    <row r="17" spans="1:18" ht="23" customHeight="1">
      <c r="A17" s="1" t="s">
        <v>116</v>
      </c>
      <c r="B17" s="1" t="s">
        <v>45</v>
      </c>
      <c r="C17" s="1" t="s">
        <v>20</v>
      </c>
      <c r="D17" s="1" t="s">
        <v>21</v>
      </c>
      <c r="E17" s="3">
        <v>6914.96</v>
      </c>
      <c r="F17" s="3">
        <v>7373.8799999999992</v>
      </c>
      <c r="G17" s="3">
        <v>6198.4754427342223</v>
      </c>
      <c r="H17" s="3">
        <v>6657.3827525274155</v>
      </c>
      <c r="I17" s="3">
        <v>0.8</v>
      </c>
      <c r="J17" s="3">
        <v>0.5</v>
      </c>
      <c r="K17" s="3">
        <v>0</v>
      </c>
      <c r="L17" s="3">
        <f t="shared" si="0"/>
        <v>0.5</v>
      </c>
      <c r="M17" s="3">
        <v>1.1000000000000001</v>
      </c>
      <c r="N17" s="3"/>
      <c r="O17" s="3">
        <v>53.002939190475118</v>
      </c>
      <c r="P17" s="3">
        <v>53.002000045021347</v>
      </c>
      <c r="Q17" s="3">
        <f t="shared" si="1"/>
        <v>52.202939190475121</v>
      </c>
      <c r="R17" s="3">
        <f t="shared" si="2"/>
        <v>52.20200004502135</v>
      </c>
    </row>
    <row r="18" spans="1:18" ht="23" customHeight="1">
      <c r="A18" s="1" t="s">
        <v>117</v>
      </c>
      <c r="B18" s="1" t="s">
        <v>45</v>
      </c>
      <c r="C18" s="1" t="s">
        <v>26</v>
      </c>
      <c r="D18" s="1" t="s">
        <v>21</v>
      </c>
      <c r="E18" s="3">
        <v>7373.9198917456251</v>
      </c>
      <c r="F18" s="3">
        <v>8279.9598917443436</v>
      </c>
      <c r="G18" s="3">
        <v>6657.71510605197</v>
      </c>
      <c r="H18" s="3">
        <v>7563.7693381648205</v>
      </c>
      <c r="I18" s="3">
        <v>1.05</v>
      </c>
      <c r="J18" s="3">
        <v>0.5</v>
      </c>
      <c r="K18" s="3">
        <v>0</v>
      </c>
      <c r="L18" s="3">
        <f t="shared" si="0"/>
        <v>0.5</v>
      </c>
      <c r="M18" s="3">
        <v>1.1000000000000001</v>
      </c>
      <c r="N18" s="3">
        <v>2</v>
      </c>
      <c r="O18" s="3">
        <v>53.001999963355871</v>
      </c>
      <c r="P18" s="3">
        <v>52.6720011638701</v>
      </c>
      <c r="Q18" s="3">
        <f t="shared" si="1"/>
        <v>51.951999963355874</v>
      </c>
      <c r="R18" s="3">
        <f t="shared" si="2"/>
        <v>51.622001163870102</v>
      </c>
    </row>
    <row r="19" spans="1:18" ht="23" customHeight="1">
      <c r="A19" s="1" t="s">
        <v>118</v>
      </c>
      <c r="B19" s="1" t="s">
        <v>45</v>
      </c>
      <c r="C19" s="1" t="s">
        <v>26</v>
      </c>
      <c r="D19" s="1" t="s">
        <v>23</v>
      </c>
      <c r="E19" s="3">
        <v>8280.43</v>
      </c>
      <c r="F19" s="3">
        <v>8308.2900000000009</v>
      </c>
      <c r="G19" s="3">
        <v>7564.2423982503997</v>
      </c>
      <c r="H19" s="3">
        <v>7592.2438939133472</v>
      </c>
      <c r="I19" s="3">
        <v>0.75</v>
      </c>
      <c r="J19" s="3">
        <v>0.4</v>
      </c>
      <c r="K19" s="3">
        <v>0</v>
      </c>
      <c r="L19" s="3">
        <f t="shared" si="0"/>
        <v>0.4</v>
      </c>
      <c r="M19" s="3">
        <v>1</v>
      </c>
      <c r="N19" s="3">
        <v>2</v>
      </c>
      <c r="O19" s="3">
        <v>52.616</v>
      </c>
      <c r="P19" s="3">
        <v>54.025364158657034</v>
      </c>
      <c r="Q19" s="3">
        <f t="shared" si="1"/>
        <v>51.866</v>
      </c>
      <c r="R19" s="3">
        <f t="shared" si="2"/>
        <v>53.275364158657034</v>
      </c>
    </row>
    <row r="20" spans="1:18" ht="32" customHeight="1">
      <c r="A20" s="1" t="s">
        <v>119</v>
      </c>
      <c r="B20" s="1" t="s">
        <v>45</v>
      </c>
      <c r="C20" s="1" t="s">
        <v>26</v>
      </c>
      <c r="D20" s="4" t="s">
        <v>49</v>
      </c>
      <c r="E20" s="3">
        <v>8308.2900000000009</v>
      </c>
      <c r="F20" s="3">
        <v>8312.8100000000377</v>
      </c>
      <c r="G20" s="3">
        <v>7592.2438939133472</v>
      </c>
      <c r="H20" s="3">
        <v>7596.7868501372359</v>
      </c>
      <c r="I20" s="3">
        <v>0.4</v>
      </c>
      <c r="J20" s="3">
        <v>0.4</v>
      </c>
      <c r="K20" s="3">
        <v>0</v>
      </c>
      <c r="L20" s="3">
        <f t="shared" si="0"/>
        <v>0.4</v>
      </c>
      <c r="M20" s="3"/>
      <c r="N20" s="3">
        <v>2</v>
      </c>
      <c r="O20" s="3">
        <v>54.025364158657034</v>
      </c>
      <c r="P20" s="3">
        <v>54.254019076000233</v>
      </c>
      <c r="Q20" s="3">
        <f t="shared" si="1"/>
        <v>53.625364158657035</v>
      </c>
      <c r="R20" s="3">
        <f t="shared" si="2"/>
        <v>53.854019076000235</v>
      </c>
    </row>
    <row r="21" spans="1:18" ht="32" customHeight="1">
      <c r="A21" s="1" t="s">
        <v>120</v>
      </c>
      <c r="B21" s="1" t="s">
        <v>45</v>
      </c>
      <c r="C21" s="1" t="s">
        <v>26</v>
      </c>
      <c r="D21" s="4" t="s">
        <v>49</v>
      </c>
      <c r="E21" s="3">
        <v>8312.8100000000013</v>
      </c>
      <c r="F21" s="3">
        <v>8348.2900000000009</v>
      </c>
      <c r="G21" s="3">
        <v>7596.7870448345357</v>
      </c>
      <c r="H21" s="3">
        <v>7632.2705791608932</v>
      </c>
      <c r="I21" s="3">
        <v>0.4</v>
      </c>
      <c r="J21" s="3">
        <v>0.4</v>
      </c>
      <c r="K21" s="3">
        <v>0</v>
      </c>
      <c r="L21" s="3">
        <f t="shared" si="0"/>
        <v>0.4</v>
      </c>
      <c r="M21" s="3"/>
      <c r="N21" s="3">
        <v>2</v>
      </c>
      <c r="O21" s="3">
        <v>54.254019075935766</v>
      </c>
      <c r="P21" s="3">
        <v>54.287859785984487</v>
      </c>
      <c r="Q21" s="3">
        <f t="shared" si="1"/>
        <v>53.854019075935767</v>
      </c>
      <c r="R21" s="3">
        <f t="shared" si="2"/>
        <v>53.887859785984489</v>
      </c>
    </row>
    <row r="22" spans="1:18" ht="23" customHeight="1">
      <c r="A22" s="1" t="s">
        <v>121</v>
      </c>
      <c r="B22" s="1" t="s">
        <v>45</v>
      </c>
      <c r="C22" s="1" t="s">
        <v>26</v>
      </c>
      <c r="D22" s="1" t="s">
        <v>23</v>
      </c>
      <c r="E22" s="3">
        <v>8348.2900000000009</v>
      </c>
      <c r="F22" s="3">
        <v>8992.18</v>
      </c>
      <c r="G22" s="3">
        <v>7632.2705791608932</v>
      </c>
      <c r="H22" s="3">
        <v>8276.2247200120328</v>
      </c>
      <c r="I22" s="3">
        <v>0.75</v>
      </c>
      <c r="J22" s="3">
        <v>0.4</v>
      </c>
      <c r="K22" s="3">
        <v>0</v>
      </c>
      <c r="L22" s="3">
        <f t="shared" si="0"/>
        <v>0.4</v>
      </c>
      <c r="M22" s="3">
        <v>1</v>
      </c>
      <c r="N22" s="3">
        <v>2</v>
      </c>
      <c r="O22" s="3">
        <v>54.287859785984487</v>
      </c>
      <c r="P22" s="3">
        <v>54.902000000000001</v>
      </c>
      <c r="Q22" s="3">
        <f t="shared" si="1"/>
        <v>53.537859785984487</v>
      </c>
      <c r="R22" s="3">
        <f t="shared" si="2"/>
        <v>54.152000000000001</v>
      </c>
    </row>
    <row r="23" spans="1:18" ht="23" customHeight="1">
      <c r="A23" s="1" t="s">
        <v>122</v>
      </c>
      <c r="B23" s="1" t="s">
        <v>53</v>
      </c>
      <c r="C23" s="1" t="s">
        <v>20</v>
      </c>
      <c r="D23" s="1" t="s">
        <v>54</v>
      </c>
      <c r="E23" s="3">
        <v>9000.19</v>
      </c>
      <c r="F23" s="3">
        <v>9732</v>
      </c>
      <c r="G23" s="3">
        <v>8284.235569432054</v>
      </c>
      <c r="H23" s="3">
        <v>9023.811732946906</v>
      </c>
      <c r="I23" s="3">
        <v>0.85</v>
      </c>
      <c r="J23" s="3">
        <v>0.8</v>
      </c>
      <c r="K23" s="3">
        <v>0</v>
      </c>
      <c r="L23" s="3">
        <f t="shared" si="0"/>
        <v>0.8</v>
      </c>
      <c r="M23" s="3">
        <v>1.4</v>
      </c>
      <c r="N23" s="3"/>
      <c r="O23" s="3">
        <v>54.750999999999998</v>
      </c>
      <c r="P23" s="3">
        <v>55.008900233253669</v>
      </c>
      <c r="Q23" s="3">
        <f t="shared" si="1"/>
        <v>53.900999999999996</v>
      </c>
      <c r="R23" s="3">
        <f t="shared" si="2"/>
        <v>54.158900233253668</v>
      </c>
    </row>
    <row r="24" spans="1:18" ht="23" customHeight="1">
      <c r="A24" s="1" t="s">
        <v>123</v>
      </c>
      <c r="B24" s="1" t="s">
        <v>53</v>
      </c>
      <c r="C24" s="1" t="s">
        <v>26</v>
      </c>
      <c r="D24" s="1" t="s">
        <v>54</v>
      </c>
      <c r="E24" s="3">
        <v>9731.9999999999636</v>
      </c>
      <c r="F24" s="3">
        <v>9942.9</v>
      </c>
      <c r="G24" s="3">
        <v>9024.1052603745684</v>
      </c>
      <c r="H24" s="3">
        <v>9234.5867622302358</v>
      </c>
      <c r="I24" s="3">
        <v>0.95</v>
      </c>
      <c r="J24" s="3">
        <v>0.8</v>
      </c>
      <c r="K24" s="3">
        <v>0</v>
      </c>
      <c r="L24" s="3">
        <f t="shared" si="0"/>
        <v>0.8</v>
      </c>
      <c r="M24" s="3">
        <v>1.4</v>
      </c>
      <c r="N24" s="3">
        <v>2</v>
      </c>
      <c r="O24" s="3">
        <v>55.008900233170067</v>
      </c>
      <c r="P24" s="3">
        <v>54.859797486299136</v>
      </c>
      <c r="Q24" s="3">
        <f t="shared" si="1"/>
        <v>54.058900233170064</v>
      </c>
      <c r="R24" s="3">
        <f t="shared" si="2"/>
        <v>53.909797486299134</v>
      </c>
    </row>
    <row r="25" spans="1:18" ht="32" customHeight="1">
      <c r="A25" s="1" t="s">
        <v>124</v>
      </c>
      <c r="B25" s="1" t="s">
        <v>53</v>
      </c>
      <c r="C25" s="1" t="s">
        <v>26</v>
      </c>
      <c r="D25" s="4" t="s">
        <v>57</v>
      </c>
      <c r="E25" s="3">
        <v>9942.9</v>
      </c>
      <c r="F25" s="3">
        <v>9949.9</v>
      </c>
      <c r="G25" s="3">
        <v>9234.5867622302358</v>
      </c>
      <c r="H25" s="3">
        <v>9241.5728718224091</v>
      </c>
      <c r="I25" s="3">
        <v>0.95</v>
      </c>
      <c r="J25" s="3">
        <v>0.8</v>
      </c>
      <c r="K25" s="3">
        <v>0</v>
      </c>
      <c r="L25" s="3">
        <f t="shared" si="0"/>
        <v>0.8</v>
      </c>
      <c r="M25" s="3"/>
      <c r="N25" s="3">
        <v>2</v>
      </c>
      <c r="O25" s="3">
        <v>54.859797486299136</v>
      </c>
      <c r="P25" s="3">
        <v>54.85484860423135</v>
      </c>
      <c r="Q25" s="3">
        <f t="shared" si="1"/>
        <v>53.909797486299134</v>
      </c>
      <c r="R25" s="3">
        <f t="shared" si="2"/>
        <v>53.904848604231347</v>
      </c>
    </row>
    <row r="26" spans="1:18" ht="23" customHeight="1">
      <c r="A26" s="1" t="s">
        <v>125</v>
      </c>
      <c r="B26" s="1" t="s">
        <v>53</v>
      </c>
      <c r="C26" s="1" t="s">
        <v>26</v>
      </c>
      <c r="D26" s="1" t="s">
        <v>54</v>
      </c>
      <c r="E26" s="3">
        <v>9949.9</v>
      </c>
      <c r="F26" s="3">
        <v>10369.82</v>
      </c>
      <c r="G26" s="3">
        <v>9241.5728718224091</v>
      </c>
      <c r="H26" s="3">
        <v>9660.6596061003456</v>
      </c>
      <c r="I26" s="3">
        <v>0.95</v>
      </c>
      <c r="J26" s="3">
        <v>0.8</v>
      </c>
      <c r="K26" s="3">
        <v>0</v>
      </c>
      <c r="L26" s="3">
        <f t="shared" si="0"/>
        <v>0.8</v>
      </c>
      <c r="M26" s="3">
        <v>1.4</v>
      </c>
      <c r="N26" s="3">
        <v>2</v>
      </c>
      <c r="O26" s="3">
        <v>54.85484860423135</v>
      </c>
      <c r="P26" s="3">
        <v>54.557972238816319</v>
      </c>
      <c r="Q26" s="3">
        <f t="shared" si="1"/>
        <v>53.904848604231347</v>
      </c>
      <c r="R26" s="3">
        <f t="shared" si="2"/>
        <v>53.607972238816316</v>
      </c>
    </row>
    <row r="27" spans="1:18" ht="23" customHeight="1">
      <c r="A27" s="1" t="s">
        <v>126</v>
      </c>
      <c r="B27" s="1" t="s">
        <v>53</v>
      </c>
      <c r="C27" s="1" t="s">
        <v>30</v>
      </c>
      <c r="D27" s="1" t="s">
        <v>23</v>
      </c>
      <c r="E27" s="3">
        <v>10468.969999999999</v>
      </c>
      <c r="F27" s="3">
        <v>10752.34</v>
      </c>
      <c r="G27" s="3">
        <v>9757.8293634346956</v>
      </c>
      <c r="H27" s="3">
        <v>10037.606258710179</v>
      </c>
      <c r="I27" s="3">
        <v>0.45</v>
      </c>
      <c r="J27" s="3">
        <v>0.4</v>
      </c>
      <c r="K27" s="3">
        <v>0</v>
      </c>
      <c r="L27" s="3">
        <f t="shared" si="0"/>
        <v>0.4</v>
      </c>
      <c r="M27" s="3">
        <v>1</v>
      </c>
      <c r="N27" s="3"/>
      <c r="O27" s="3">
        <v>55.634999999999998</v>
      </c>
      <c r="P27" s="3">
        <v>55.830999999999996</v>
      </c>
      <c r="Q27" s="3">
        <f t="shared" si="1"/>
        <v>55.184999999999995</v>
      </c>
      <c r="R27" s="3">
        <f t="shared" si="2"/>
        <v>55.380999999999993</v>
      </c>
    </row>
    <row r="28" spans="1:18" ht="23" customHeight="1">
      <c r="A28" s="1" t="s">
        <v>127</v>
      </c>
      <c r="B28" s="1" t="s">
        <v>61</v>
      </c>
      <c r="C28" s="1" t="s">
        <v>26</v>
      </c>
      <c r="D28" s="1" t="s">
        <v>23</v>
      </c>
      <c r="E28" s="3">
        <v>10752.39</v>
      </c>
      <c r="F28" s="3">
        <v>11001.9</v>
      </c>
      <c r="G28" s="3">
        <v>10038.822030240293</v>
      </c>
      <c r="H28" s="3">
        <v>10284.488504379851</v>
      </c>
      <c r="I28" s="3">
        <v>0.45</v>
      </c>
      <c r="J28" s="3">
        <v>0.4</v>
      </c>
      <c r="K28" s="3">
        <v>0</v>
      </c>
      <c r="L28" s="3">
        <f t="shared" si="0"/>
        <v>0.4</v>
      </c>
      <c r="M28" s="3">
        <v>1</v>
      </c>
      <c r="N28" s="3">
        <v>2</v>
      </c>
      <c r="O28" s="3">
        <v>56.168999999999997</v>
      </c>
      <c r="P28" s="3">
        <v>55.645041998958042</v>
      </c>
      <c r="Q28" s="3">
        <f t="shared" si="1"/>
        <v>55.718999999999994</v>
      </c>
      <c r="R28" s="3">
        <f t="shared" si="2"/>
        <v>55.19504199895804</v>
      </c>
    </row>
    <row r="29" spans="1:18" ht="23" customHeight="1">
      <c r="A29" s="1" t="s">
        <v>128</v>
      </c>
      <c r="B29" s="1" t="s">
        <v>61</v>
      </c>
      <c r="C29" s="1" t="s">
        <v>26</v>
      </c>
      <c r="D29" s="1" t="s">
        <v>23</v>
      </c>
      <c r="E29" s="3">
        <v>11001.94</v>
      </c>
      <c r="F29" s="3">
        <v>11047.83</v>
      </c>
      <c r="G29" s="3">
        <v>10284.52782960377</v>
      </c>
      <c r="H29" s="3">
        <v>10329.606262322061</v>
      </c>
      <c r="I29" s="3">
        <v>0.45</v>
      </c>
      <c r="J29" s="3">
        <v>0.4</v>
      </c>
      <c r="K29" s="3">
        <v>0</v>
      </c>
      <c r="L29" s="3">
        <f t="shared" si="0"/>
        <v>0.4</v>
      </c>
      <c r="M29" s="3">
        <v>1</v>
      </c>
      <c r="N29" s="3">
        <v>2</v>
      </c>
      <c r="O29" s="3">
        <v>55.644496625299361</v>
      </c>
      <c r="P29" s="3">
        <v>54.489503374700639</v>
      </c>
      <c r="Q29" s="3">
        <f t="shared" si="1"/>
        <v>55.194496625299358</v>
      </c>
      <c r="R29" s="3">
        <f t="shared" si="2"/>
        <v>54.039503374700637</v>
      </c>
    </row>
    <row r="30" spans="1:18" ht="23" customHeight="1">
      <c r="A30" s="1" t="s">
        <v>129</v>
      </c>
      <c r="B30" s="1" t="s">
        <v>61</v>
      </c>
      <c r="C30" s="1" t="s">
        <v>30</v>
      </c>
      <c r="D30" s="1" t="s">
        <v>23</v>
      </c>
      <c r="E30" s="3">
        <v>11047.87</v>
      </c>
      <c r="F30" s="3">
        <v>11138.64</v>
      </c>
      <c r="G30" s="3">
        <v>10329.935316181996</v>
      </c>
      <c r="H30" s="3">
        <v>10419.918815084078</v>
      </c>
      <c r="I30" s="3">
        <v>0.45</v>
      </c>
      <c r="J30" s="3">
        <v>0.4</v>
      </c>
      <c r="K30" s="3">
        <v>0</v>
      </c>
      <c r="L30" s="3">
        <f t="shared" si="0"/>
        <v>0.4</v>
      </c>
      <c r="M30" s="3">
        <v>1</v>
      </c>
      <c r="N30" s="3"/>
      <c r="O30" s="3">
        <v>54.488947362625261</v>
      </c>
      <c r="P30" s="3">
        <v>54.250052637374736</v>
      </c>
      <c r="Q30" s="3">
        <f t="shared" si="1"/>
        <v>54.038947362625258</v>
      </c>
      <c r="R30" s="3">
        <f t="shared" si="2"/>
        <v>53.800052637374733</v>
      </c>
    </row>
    <row r="31" spans="1:18" ht="23" customHeight="1">
      <c r="A31" s="1" t="s">
        <v>130</v>
      </c>
      <c r="B31" s="1" t="s">
        <v>61</v>
      </c>
      <c r="C31" s="1" t="s">
        <v>30</v>
      </c>
      <c r="D31" s="1" t="s">
        <v>23</v>
      </c>
      <c r="E31" s="3">
        <v>11138.68</v>
      </c>
      <c r="F31" s="3">
        <v>11227.47</v>
      </c>
      <c r="G31" s="3">
        <v>10419.958815083963</v>
      </c>
      <c r="H31" s="3">
        <v>10508.775131061962</v>
      </c>
      <c r="I31" s="3">
        <v>0.45</v>
      </c>
      <c r="J31" s="3">
        <v>0.4</v>
      </c>
      <c r="K31" s="3">
        <v>0</v>
      </c>
      <c r="L31" s="3">
        <f t="shared" si="0"/>
        <v>0.4</v>
      </c>
      <c r="M31" s="3">
        <v>1</v>
      </c>
      <c r="N31" s="3"/>
      <c r="O31" s="3">
        <v>54.249928177417537</v>
      </c>
      <c r="P31" s="3">
        <v>53.93107182258246</v>
      </c>
      <c r="Q31" s="3">
        <f t="shared" si="1"/>
        <v>53.799928177417534</v>
      </c>
      <c r="R31" s="3">
        <f t="shared" si="2"/>
        <v>53.481071822582457</v>
      </c>
    </row>
    <row r="32" spans="1:18" ht="23" customHeight="1">
      <c r="A32" s="1" t="s">
        <v>131</v>
      </c>
      <c r="B32" s="1" t="s">
        <v>61</v>
      </c>
      <c r="C32" s="1" t="s">
        <v>30</v>
      </c>
      <c r="D32" s="1" t="s">
        <v>23</v>
      </c>
      <c r="E32" s="3">
        <v>11227.51</v>
      </c>
      <c r="F32" s="3">
        <v>11337.88</v>
      </c>
      <c r="G32" s="3">
        <v>10508.815226203238</v>
      </c>
      <c r="H32" s="3">
        <v>10619.199952861036</v>
      </c>
      <c r="I32" s="3">
        <v>0.45</v>
      </c>
      <c r="J32" s="3">
        <v>0.4</v>
      </c>
      <c r="K32" s="3">
        <v>0</v>
      </c>
      <c r="L32" s="3">
        <f t="shared" si="0"/>
        <v>0.4</v>
      </c>
      <c r="M32" s="3">
        <v>1</v>
      </c>
      <c r="N32" s="3"/>
      <c r="O32" s="3">
        <v>53.930799836971282</v>
      </c>
      <c r="P32" s="3">
        <v>52.826200163028716</v>
      </c>
      <c r="Q32" s="3">
        <f t="shared" si="1"/>
        <v>53.480799836971279</v>
      </c>
      <c r="R32" s="3">
        <f t="shared" si="2"/>
        <v>52.376200163028713</v>
      </c>
    </row>
    <row r="33" spans="1:18" ht="23" customHeight="1">
      <c r="A33" s="1" t="s">
        <v>132</v>
      </c>
      <c r="B33" s="1" t="s">
        <v>61</v>
      </c>
      <c r="C33" s="1" t="s">
        <v>30</v>
      </c>
      <c r="D33" s="1" t="s">
        <v>23</v>
      </c>
      <c r="E33" s="3">
        <v>11337.92</v>
      </c>
      <c r="F33" s="3">
        <v>11388.949999999999</v>
      </c>
      <c r="G33" s="3">
        <v>10619.239952861148</v>
      </c>
      <c r="H33" s="3">
        <v>10670.300864980478</v>
      </c>
      <c r="I33" s="3">
        <v>0.45</v>
      </c>
      <c r="J33" s="3">
        <v>0.4</v>
      </c>
      <c r="K33" s="3">
        <v>0</v>
      </c>
      <c r="L33" s="3">
        <f t="shared" si="0"/>
        <v>0.4</v>
      </c>
      <c r="M33" s="3">
        <v>1</v>
      </c>
      <c r="N33" s="3"/>
      <c r="O33" s="3">
        <v>52.825759545721553</v>
      </c>
      <c r="P33" s="3">
        <v>52.212240454278451</v>
      </c>
      <c r="Q33" s="3">
        <f t="shared" si="1"/>
        <v>52.37575954572155</v>
      </c>
      <c r="R33" s="3">
        <f t="shared" si="2"/>
        <v>51.762240454278448</v>
      </c>
    </row>
    <row r="34" spans="1:18" ht="23" customHeight="1">
      <c r="A34" s="1" t="s">
        <v>133</v>
      </c>
      <c r="B34" s="1" t="s">
        <v>61</v>
      </c>
      <c r="C34" s="1" t="s">
        <v>30</v>
      </c>
      <c r="D34" s="1" t="s">
        <v>23</v>
      </c>
      <c r="E34" s="3">
        <v>11388.99</v>
      </c>
      <c r="F34" s="3">
        <v>11472.8</v>
      </c>
      <c r="G34" s="3">
        <v>10670.340864980479</v>
      </c>
      <c r="H34" s="3">
        <v>10754.160250525527</v>
      </c>
      <c r="I34" s="3">
        <v>0.55000000000000004</v>
      </c>
      <c r="J34" s="3">
        <v>0.4</v>
      </c>
      <c r="K34" s="3">
        <v>0</v>
      </c>
      <c r="L34" s="3">
        <f t="shared" ref="L34:L65" si="3">J34+2*K34*I34</f>
        <v>0.4</v>
      </c>
      <c r="M34" s="3">
        <v>1</v>
      </c>
      <c r="N34" s="3"/>
      <c r="O34" s="3">
        <v>52.211963736132653</v>
      </c>
      <c r="P34" s="3">
        <v>52.06</v>
      </c>
      <c r="Q34" s="3">
        <f t="shared" ref="Q34:Q59" si="4">O34-I34</f>
        <v>51.661963736132655</v>
      </c>
      <c r="R34" s="3">
        <f t="shared" ref="R34:R59" si="5">P34-I34</f>
        <v>51.510000000000005</v>
      </c>
    </row>
    <row r="35" spans="1:18" ht="23" customHeight="1">
      <c r="A35" s="1" t="s">
        <v>134</v>
      </c>
      <c r="B35" s="1" t="s">
        <v>61</v>
      </c>
      <c r="C35" s="1" t="s">
        <v>30</v>
      </c>
      <c r="D35" s="1" t="s">
        <v>23</v>
      </c>
      <c r="E35" s="3">
        <v>11538.48</v>
      </c>
      <c r="F35" s="3">
        <v>11592.99</v>
      </c>
      <c r="G35" s="3">
        <v>10820.18824347969</v>
      </c>
      <c r="H35" s="3">
        <v>10875.498843450829</v>
      </c>
      <c r="I35" s="3">
        <v>0.55000000000000004</v>
      </c>
      <c r="J35" s="3">
        <v>0.4</v>
      </c>
      <c r="K35" s="3">
        <v>0</v>
      </c>
      <c r="L35" s="3">
        <f t="shared" si="3"/>
        <v>0.4</v>
      </c>
      <c r="M35" s="3">
        <v>1</v>
      </c>
      <c r="N35" s="3"/>
      <c r="O35" s="3">
        <v>52.04</v>
      </c>
      <c r="P35" s="3">
        <v>52.174950485971024</v>
      </c>
      <c r="Q35" s="3">
        <f t="shared" si="4"/>
        <v>51.49</v>
      </c>
      <c r="R35" s="3">
        <f t="shared" si="5"/>
        <v>51.624950485971027</v>
      </c>
    </row>
    <row r="36" spans="1:18" ht="23" customHeight="1">
      <c r="A36" s="1" t="s">
        <v>135</v>
      </c>
      <c r="B36" s="1" t="s">
        <v>61</v>
      </c>
      <c r="C36" s="1" t="s">
        <v>30</v>
      </c>
      <c r="D36" s="1" t="s">
        <v>23</v>
      </c>
      <c r="E36" s="3">
        <v>11593.03</v>
      </c>
      <c r="F36" s="3">
        <v>11617.21</v>
      </c>
      <c r="G36" s="3">
        <v>10875.53884345083</v>
      </c>
      <c r="H36" s="3">
        <v>10899.723916475781</v>
      </c>
      <c r="I36" s="3">
        <v>0.55000000000000004</v>
      </c>
      <c r="J36" s="3">
        <v>0.4</v>
      </c>
      <c r="K36" s="3">
        <v>0</v>
      </c>
      <c r="L36" s="3">
        <f t="shared" si="3"/>
        <v>0.4</v>
      </c>
      <c r="M36" s="3">
        <v>1</v>
      </c>
      <c r="N36" s="3"/>
      <c r="O36" s="3">
        <v>52.176227910817531</v>
      </c>
      <c r="P36" s="3">
        <v>53.660772089182466</v>
      </c>
      <c r="Q36" s="3">
        <f t="shared" si="4"/>
        <v>51.626227910817533</v>
      </c>
      <c r="R36" s="3">
        <f t="shared" si="5"/>
        <v>53.110772089182468</v>
      </c>
    </row>
    <row r="37" spans="1:18" ht="23" customHeight="1">
      <c r="A37" s="1" t="s">
        <v>136</v>
      </c>
      <c r="B37" s="1" t="s">
        <v>61</v>
      </c>
      <c r="C37" s="1" t="s">
        <v>30</v>
      </c>
      <c r="D37" s="1" t="s">
        <v>23</v>
      </c>
      <c r="E37" s="3">
        <v>11617.25</v>
      </c>
      <c r="F37" s="3">
        <v>12073.24</v>
      </c>
      <c r="G37" s="3">
        <v>10899.764389516382</v>
      </c>
      <c r="H37" s="3">
        <v>11355.942727808633</v>
      </c>
      <c r="I37" s="3">
        <v>0.55000000000000004</v>
      </c>
      <c r="J37" s="3">
        <v>0.4</v>
      </c>
      <c r="K37" s="3">
        <v>0</v>
      </c>
      <c r="L37" s="3">
        <f t="shared" si="3"/>
        <v>0.4</v>
      </c>
      <c r="M37" s="3">
        <v>1</v>
      </c>
      <c r="N37" s="3"/>
      <c r="O37" s="3">
        <v>53.662080871872462</v>
      </c>
      <c r="P37" s="3">
        <v>55.50591912812753</v>
      </c>
      <c r="Q37" s="3">
        <f t="shared" si="4"/>
        <v>53.112080871872465</v>
      </c>
      <c r="R37" s="3">
        <f t="shared" si="5"/>
        <v>54.955919128127533</v>
      </c>
    </row>
    <row r="38" spans="1:18" ht="23" customHeight="1">
      <c r="A38" s="1" t="s">
        <v>137</v>
      </c>
      <c r="B38" s="1" t="s">
        <v>61</v>
      </c>
      <c r="C38" s="1" t="s">
        <v>30</v>
      </c>
      <c r="D38" s="1" t="s">
        <v>23</v>
      </c>
      <c r="E38" s="3">
        <v>12073.28</v>
      </c>
      <c r="F38" s="3">
        <v>12174.98</v>
      </c>
      <c r="G38" s="3">
        <v>11355.982727808518</v>
      </c>
      <c r="H38" s="3">
        <v>11457.701816246352</v>
      </c>
      <c r="I38" s="3">
        <v>0.55000000000000004</v>
      </c>
      <c r="J38" s="3">
        <v>0.4</v>
      </c>
      <c r="K38" s="3">
        <v>0</v>
      </c>
      <c r="L38" s="3">
        <f t="shared" si="3"/>
        <v>0.4</v>
      </c>
      <c r="M38" s="3">
        <v>1</v>
      </c>
      <c r="N38" s="3"/>
      <c r="O38" s="3">
        <v>55.506070572046397</v>
      </c>
      <c r="P38" s="3">
        <v>55.864929427953605</v>
      </c>
      <c r="Q38" s="3">
        <f t="shared" si="4"/>
        <v>54.9560705720464</v>
      </c>
      <c r="R38" s="3">
        <f t="shared" si="5"/>
        <v>55.314929427953608</v>
      </c>
    </row>
    <row r="39" spans="1:18" ht="23" customHeight="1">
      <c r="A39" s="1" t="s">
        <v>138</v>
      </c>
      <c r="B39" s="1" t="s">
        <v>61</v>
      </c>
      <c r="C39" s="1" t="s">
        <v>30</v>
      </c>
      <c r="D39" s="1" t="s">
        <v>23</v>
      </c>
      <c r="E39" s="3">
        <v>12175.02</v>
      </c>
      <c r="F39" s="3">
        <v>12489.97</v>
      </c>
      <c r="G39" s="3">
        <v>11457.741816246236</v>
      </c>
      <c r="H39" s="3">
        <v>11772.711166528301</v>
      </c>
      <c r="I39" s="3">
        <v>0.55000000000000004</v>
      </c>
      <c r="J39" s="3">
        <v>0.4</v>
      </c>
      <c r="K39" s="3">
        <v>0</v>
      </c>
      <c r="L39" s="3">
        <f t="shared" si="3"/>
        <v>0.4</v>
      </c>
      <c r="M39" s="3">
        <v>1</v>
      </c>
      <c r="N39" s="3"/>
      <c r="O39" s="3">
        <v>55.865008381750648</v>
      </c>
      <c r="P39" s="3">
        <v>55.997</v>
      </c>
      <c r="Q39" s="3">
        <f t="shared" si="4"/>
        <v>55.315008381750651</v>
      </c>
      <c r="R39" s="3">
        <f t="shared" si="5"/>
        <v>55.447000000000003</v>
      </c>
    </row>
    <row r="40" spans="1:18" ht="23" customHeight="1">
      <c r="A40" s="1" t="s">
        <v>139</v>
      </c>
      <c r="B40" s="1" t="s">
        <v>74</v>
      </c>
      <c r="C40" s="1" t="s">
        <v>30</v>
      </c>
      <c r="D40" s="1" t="s">
        <v>23</v>
      </c>
      <c r="E40" s="3">
        <v>12602.13</v>
      </c>
      <c r="F40" s="3">
        <v>13067.53</v>
      </c>
      <c r="G40" s="3">
        <v>11884.871152895454</v>
      </c>
      <c r="H40" s="3">
        <v>12350.288314595486</v>
      </c>
      <c r="I40" s="3">
        <v>0.75</v>
      </c>
      <c r="J40" s="3">
        <v>0.4</v>
      </c>
      <c r="K40" s="3">
        <v>0</v>
      </c>
      <c r="L40" s="3">
        <f t="shared" si="3"/>
        <v>0.4</v>
      </c>
      <c r="M40" s="3">
        <v>1</v>
      </c>
      <c r="N40" s="3"/>
      <c r="O40" s="3">
        <v>56.2</v>
      </c>
      <c r="P40" s="3">
        <v>56.01</v>
      </c>
      <c r="Q40" s="3">
        <f t="shared" si="4"/>
        <v>55.45</v>
      </c>
      <c r="R40" s="3">
        <f t="shared" si="5"/>
        <v>55.26</v>
      </c>
    </row>
    <row r="41" spans="1:18" ht="23" customHeight="1">
      <c r="A41" s="1" t="s">
        <v>140</v>
      </c>
      <c r="B41" s="1" t="s">
        <v>74</v>
      </c>
      <c r="C41" s="1" t="s">
        <v>26</v>
      </c>
      <c r="D41" s="1" t="s">
        <v>21</v>
      </c>
      <c r="E41" s="3">
        <v>13090.68</v>
      </c>
      <c r="F41" s="3">
        <v>13551.740000000036</v>
      </c>
      <c r="G41" s="3">
        <v>12373.452906610306</v>
      </c>
      <c r="H41" s="3">
        <v>12834.520565111361</v>
      </c>
      <c r="I41" s="3">
        <v>0.95</v>
      </c>
      <c r="J41" s="3">
        <v>0.5</v>
      </c>
      <c r="K41" s="3">
        <v>0</v>
      </c>
      <c r="L41" s="3">
        <f t="shared" si="3"/>
        <v>0.5</v>
      </c>
      <c r="M41" s="3">
        <v>1.1000000000000001</v>
      </c>
      <c r="N41" s="3">
        <v>2</v>
      </c>
      <c r="O41" s="3">
        <v>56</v>
      </c>
      <c r="P41" s="3">
        <v>56.064000000099959</v>
      </c>
      <c r="Q41" s="3">
        <f t="shared" si="4"/>
        <v>55.05</v>
      </c>
      <c r="R41" s="3">
        <f t="shared" si="5"/>
        <v>55.114000000099956</v>
      </c>
    </row>
    <row r="42" spans="1:18" ht="23" customHeight="1">
      <c r="A42" s="1" t="s">
        <v>141</v>
      </c>
      <c r="B42" s="1" t="s">
        <v>74</v>
      </c>
      <c r="C42" s="1" t="s">
        <v>20</v>
      </c>
      <c r="D42" s="1" t="s">
        <v>23</v>
      </c>
      <c r="E42" s="3">
        <v>13551.74</v>
      </c>
      <c r="F42" s="3">
        <v>14057.36</v>
      </c>
      <c r="G42" s="3">
        <v>12834.863091310923</v>
      </c>
      <c r="H42" s="3">
        <v>13340.483091310896</v>
      </c>
      <c r="I42" s="3">
        <v>0.75</v>
      </c>
      <c r="J42" s="3">
        <v>0.4</v>
      </c>
      <c r="K42" s="3">
        <v>0</v>
      </c>
      <c r="L42" s="3">
        <f t="shared" si="3"/>
        <v>0.4</v>
      </c>
      <c r="M42" s="3">
        <v>1</v>
      </c>
      <c r="N42" s="3"/>
      <c r="O42" s="3">
        <v>56.064</v>
      </c>
      <c r="P42" s="3">
        <v>56.064</v>
      </c>
      <c r="Q42" s="3">
        <f t="shared" si="4"/>
        <v>55.314</v>
      </c>
      <c r="R42" s="3">
        <f t="shared" si="5"/>
        <v>55.314</v>
      </c>
    </row>
    <row r="43" spans="1:18" ht="23" customHeight="1">
      <c r="A43" s="1" t="s">
        <v>142</v>
      </c>
      <c r="B43" s="1" t="s">
        <v>78</v>
      </c>
      <c r="C43" s="1" t="s">
        <v>20</v>
      </c>
      <c r="D43" s="1" t="s">
        <v>23</v>
      </c>
      <c r="E43" s="3">
        <v>14108.57</v>
      </c>
      <c r="F43" s="3">
        <v>14182.939999999999</v>
      </c>
      <c r="G43" s="3">
        <v>13391.693091310866</v>
      </c>
      <c r="H43" s="3">
        <v>13466.063091310874</v>
      </c>
      <c r="I43" s="3">
        <v>0.35</v>
      </c>
      <c r="J43" s="3">
        <v>0.4</v>
      </c>
      <c r="K43" s="3">
        <v>0</v>
      </c>
      <c r="L43" s="3">
        <f t="shared" si="3"/>
        <v>0.4</v>
      </c>
      <c r="M43" s="3">
        <v>1</v>
      </c>
      <c r="N43" s="3"/>
      <c r="O43" s="3">
        <v>56.064</v>
      </c>
      <c r="P43" s="3">
        <v>56.064</v>
      </c>
      <c r="Q43" s="3">
        <f t="shared" si="4"/>
        <v>55.713999999999999</v>
      </c>
      <c r="R43" s="3">
        <f t="shared" si="5"/>
        <v>55.713999999999999</v>
      </c>
    </row>
    <row r="44" spans="1:18" ht="23" customHeight="1">
      <c r="A44" s="1" t="s">
        <v>143</v>
      </c>
      <c r="B44" s="1" t="s">
        <v>78</v>
      </c>
      <c r="C44" s="1" t="s">
        <v>20</v>
      </c>
      <c r="D44" s="1" t="s">
        <v>23</v>
      </c>
      <c r="E44" s="3">
        <v>14182.98</v>
      </c>
      <c r="F44" s="3">
        <v>14309.6</v>
      </c>
      <c r="G44" s="3">
        <v>13466.103262383604</v>
      </c>
      <c r="H44" s="3">
        <v>13592.723266322564</v>
      </c>
      <c r="I44" s="3">
        <v>0.35</v>
      </c>
      <c r="J44" s="3">
        <v>0.4</v>
      </c>
      <c r="K44" s="3">
        <v>0</v>
      </c>
      <c r="L44" s="3">
        <f t="shared" si="3"/>
        <v>0.4</v>
      </c>
      <c r="M44" s="3">
        <v>1</v>
      </c>
      <c r="N44" s="3"/>
      <c r="O44" s="3">
        <v>56.063563085720716</v>
      </c>
      <c r="P44" s="3">
        <v>53.297458783647883</v>
      </c>
      <c r="Q44" s="3">
        <f t="shared" si="4"/>
        <v>55.713563085720715</v>
      </c>
      <c r="R44" s="3">
        <f t="shared" si="5"/>
        <v>52.947458783647882</v>
      </c>
    </row>
    <row r="45" spans="1:18" ht="23" customHeight="1">
      <c r="A45" s="1" t="s">
        <v>144</v>
      </c>
      <c r="B45" s="1" t="s">
        <v>78</v>
      </c>
      <c r="C45" s="1" t="s">
        <v>20</v>
      </c>
      <c r="D45" s="1" t="s">
        <v>23</v>
      </c>
      <c r="E45" s="3">
        <v>14309.640000000001</v>
      </c>
      <c r="F45" s="3">
        <v>14536.06</v>
      </c>
      <c r="G45" s="3">
        <v>13592.763266753287</v>
      </c>
      <c r="H45" s="3">
        <v>13819.17081189686</v>
      </c>
      <c r="I45" s="3">
        <v>0.65</v>
      </c>
      <c r="J45" s="3">
        <v>0.4</v>
      </c>
      <c r="K45" s="3">
        <v>0</v>
      </c>
      <c r="L45" s="3">
        <f t="shared" si="3"/>
        <v>0.4</v>
      </c>
      <c r="M45" s="3">
        <v>1</v>
      </c>
      <c r="N45" s="3"/>
      <c r="O45" s="3">
        <v>53.297021867437188</v>
      </c>
      <c r="P45" s="3">
        <v>53.297000001931409</v>
      </c>
      <c r="Q45" s="3">
        <f t="shared" si="4"/>
        <v>52.647021867437189</v>
      </c>
      <c r="R45" s="3">
        <f t="shared" si="5"/>
        <v>52.64700000193141</v>
      </c>
    </row>
    <row r="46" spans="1:18" ht="23" customHeight="1">
      <c r="A46" s="1" t="s">
        <v>145</v>
      </c>
      <c r="B46" s="1" t="s">
        <v>78</v>
      </c>
      <c r="C46" s="1" t="s">
        <v>26</v>
      </c>
      <c r="D46" s="1" t="s">
        <v>23</v>
      </c>
      <c r="E46" s="3">
        <v>14536.099994727318</v>
      </c>
      <c r="F46" s="3">
        <v>14714.76</v>
      </c>
      <c r="G46" s="3">
        <v>13819.503267908776</v>
      </c>
      <c r="H46" s="3">
        <v>13998.203071302318</v>
      </c>
      <c r="I46" s="3">
        <v>0.65</v>
      </c>
      <c r="J46" s="3">
        <v>0.4</v>
      </c>
      <c r="K46" s="3">
        <v>0</v>
      </c>
      <c r="L46" s="3">
        <f t="shared" si="3"/>
        <v>0.4</v>
      </c>
      <c r="M46" s="3">
        <v>1</v>
      </c>
      <c r="N46" s="3">
        <v>2</v>
      </c>
      <c r="O46" s="3">
        <v>53.296999998085148</v>
      </c>
      <c r="P46" s="3">
        <v>53.189656734372996</v>
      </c>
      <c r="Q46" s="3">
        <f t="shared" si="4"/>
        <v>52.64699999808515</v>
      </c>
      <c r="R46" s="3">
        <f t="shared" si="5"/>
        <v>52.539656734372997</v>
      </c>
    </row>
    <row r="47" spans="1:18" ht="32" customHeight="1">
      <c r="A47" t="s">
        <v>146</v>
      </c>
      <c r="B47" t="s">
        <v>78</v>
      </c>
      <c r="C47" t="s">
        <v>26</v>
      </c>
      <c r="D47" s="5" t="s">
        <v>83</v>
      </c>
      <c r="E47">
        <v>14714.76</v>
      </c>
      <c r="F47">
        <v>14718.76</v>
      </c>
      <c r="G47">
        <v>13998.203071302318</v>
      </c>
      <c r="H47">
        <v>14002.203962338244</v>
      </c>
      <c r="I47">
        <v>0.65</v>
      </c>
      <c r="J47">
        <v>0.4</v>
      </c>
      <c r="K47">
        <v>0</v>
      </c>
      <c r="L47">
        <f t="shared" si="3"/>
        <v>0.4</v>
      </c>
      <c r="N47">
        <v>2</v>
      </c>
      <c r="O47">
        <v>53.189656734372996</v>
      </c>
      <c r="P47">
        <v>53.187253437372121</v>
      </c>
      <c r="Q47">
        <f t="shared" si="4"/>
        <v>52.539656734372997</v>
      </c>
      <c r="R47">
        <f t="shared" si="5"/>
        <v>52.537253437372122</v>
      </c>
    </row>
    <row r="48" spans="1:18">
      <c r="A48" t="s">
        <v>147</v>
      </c>
      <c r="B48" t="s">
        <v>78</v>
      </c>
      <c r="C48" t="s">
        <v>26</v>
      </c>
      <c r="D48" t="s">
        <v>23</v>
      </c>
      <c r="E48">
        <v>14718.76</v>
      </c>
      <c r="F48">
        <v>14721</v>
      </c>
      <c r="G48">
        <v>14002.203962338244</v>
      </c>
      <c r="H48">
        <v>14004.444461318364</v>
      </c>
      <c r="I48">
        <v>0.65</v>
      </c>
      <c r="J48">
        <v>0.4</v>
      </c>
      <c r="K48">
        <v>0</v>
      </c>
      <c r="L48">
        <f t="shared" si="3"/>
        <v>0.4</v>
      </c>
      <c r="M48">
        <v>1</v>
      </c>
      <c r="N48">
        <v>2</v>
      </c>
      <c r="O48">
        <v>53.187253437372121</v>
      </c>
      <c r="P48">
        <v>53.185907591051631</v>
      </c>
      <c r="Q48">
        <f t="shared" si="4"/>
        <v>52.537253437372122</v>
      </c>
      <c r="R48">
        <f t="shared" si="5"/>
        <v>52.535907591051632</v>
      </c>
    </row>
    <row r="49" spans="1:18" ht="32" customHeight="1">
      <c r="A49" t="s">
        <v>148</v>
      </c>
      <c r="B49" t="s">
        <v>78</v>
      </c>
      <c r="C49" t="s">
        <v>26</v>
      </c>
      <c r="D49" s="5" t="s">
        <v>86</v>
      </c>
      <c r="E49">
        <v>14721</v>
      </c>
      <c r="F49">
        <v>14729</v>
      </c>
      <c r="G49">
        <v>14004.444461318364</v>
      </c>
      <c r="H49">
        <v>14012.446243390217</v>
      </c>
      <c r="I49">
        <v>0.65</v>
      </c>
      <c r="J49">
        <v>0.4</v>
      </c>
      <c r="K49">
        <v>0</v>
      </c>
      <c r="L49">
        <f t="shared" si="3"/>
        <v>0.4</v>
      </c>
      <c r="N49">
        <v>2</v>
      </c>
      <c r="O49">
        <v>53.185907591051631</v>
      </c>
      <c r="P49">
        <v>53.181100997049874</v>
      </c>
      <c r="Q49">
        <f t="shared" si="4"/>
        <v>52.535907591051632</v>
      </c>
      <c r="R49">
        <f t="shared" si="5"/>
        <v>52.531100997049876</v>
      </c>
    </row>
    <row r="50" spans="1:18">
      <c r="A50" t="s">
        <v>149</v>
      </c>
      <c r="B50" t="s">
        <v>78</v>
      </c>
      <c r="C50" t="s">
        <v>26</v>
      </c>
      <c r="D50" t="s">
        <v>23</v>
      </c>
      <c r="E50">
        <v>14729</v>
      </c>
      <c r="F50">
        <v>14737.489999999963</v>
      </c>
      <c r="G50">
        <v>14012.446243390217</v>
      </c>
      <c r="H50">
        <v>14020.938134613936</v>
      </c>
      <c r="I50">
        <v>0.65</v>
      </c>
      <c r="J50">
        <v>0.4</v>
      </c>
      <c r="K50">
        <v>0</v>
      </c>
      <c r="L50">
        <f t="shared" si="3"/>
        <v>0.4</v>
      </c>
      <c r="M50">
        <v>1</v>
      </c>
      <c r="N50">
        <v>2</v>
      </c>
      <c r="O50">
        <v>53.181100997049874</v>
      </c>
      <c r="P50">
        <v>53.175999999165533</v>
      </c>
      <c r="Q50">
        <f t="shared" si="4"/>
        <v>52.531100997049876</v>
      </c>
      <c r="R50">
        <f t="shared" si="5"/>
        <v>52.525999999165535</v>
      </c>
    </row>
    <row r="51" spans="1:18">
      <c r="A51" t="s">
        <v>150</v>
      </c>
      <c r="B51" t="s">
        <v>78</v>
      </c>
      <c r="C51" t="s">
        <v>30</v>
      </c>
      <c r="D51" t="s">
        <v>23</v>
      </c>
      <c r="E51">
        <v>14784.99</v>
      </c>
      <c r="F51">
        <v>15329</v>
      </c>
      <c r="G51">
        <v>14068.46273617324</v>
      </c>
      <c r="H51">
        <v>14612.504536529399</v>
      </c>
      <c r="I51">
        <v>0.65</v>
      </c>
      <c r="J51">
        <v>0.4</v>
      </c>
      <c r="K51">
        <v>0</v>
      </c>
      <c r="L51">
        <f t="shared" si="3"/>
        <v>0.4</v>
      </c>
      <c r="M51">
        <v>1</v>
      </c>
      <c r="O51">
        <v>53.128</v>
      </c>
      <c r="P51">
        <v>53.342509074316411</v>
      </c>
      <c r="Q51">
        <f t="shared" si="4"/>
        <v>52.478000000000002</v>
      </c>
      <c r="R51">
        <f t="shared" si="5"/>
        <v>52.692509074316412</v>
      </c>
    </row>
    <row r="52" spans="1:18" ht="32" customHeight="1">
      <c r="A52" t="s">
        <v>151</v>
      </c>
      <c r="B52" t="s">
        <v>78</v>
      </c>
      <c r="C52" t="s">
        <v>30</v>
      </c>
      <c r="D52" s="5" t="s">
        <v>90</v>
      </c>
      <c r="E52">
        <v>15329</v>
      </c>
      <c r="F52">
        <v>15365.75</v>
      </c>
      <c r="G52">
        <v>14612.504536529399</v>
      </c>
      <c r="H52">
        <v>14649.256684767646</v>
      </c>
      <c r="I52">
        <v>0.4</v>
      </c>
      <c r="J52">
        <v>0.4</v>
      </c>
      <c r="K52">
        <v>0</v>
      </c>
      <c r="L52">
        <f t="shared" si="3"/>
        <v>0.4</v>
      </c>
      <c r="O52">
        <v>53.342509074316411</v>
      </c>
      <c r="P52">
        <v>53.356999999999999</v>
      </c>
      <c r="Q52">
        <f t="shared" si="4"/>
        <v>52.942509074316412</v>
      </c>
      <c r="R52">
        <f t="shared" si="5"/>
        <v>52.957000000000001</v>
      </c>
    </row>
    <row r="53" spans="1:18">
      <c r="A53" t="s">
        <v>152</v>
      </c>
      <c r="B53" t="s">
        <v>92</v>
      </c>
      <c r="C53" t="s">
        <v>26</v>
      </c>
      <c r="D53" t="s">
        <v>23</v>
      </c>
      <c r="E53">
        <v>15529.7</v>
      </c>
      <c r="F53">
        <v>15755.76</v>
      </c>
      <c r="G53">
        <v>14812.603833975005</v>
      </c>
      <c r="H53">
        <v>15038.274299861487</v>
      </c>
      <c r="I53">
        <v>0.45</v>
      </c>
      <c r="J53">
        <v>0.4</v>
      </c>
      <c r="K53">
        <v>0</v>
      </c>
      <c r="L53">
        <f t="shared" si="3"/>
        <v>0.4</v>
      </c>
      <c r="M53">
        <v>1</v>
      </c>
      <c r="N53">
        <v>2</v>
      </c>
      <c r="O53">
        <v>52.545999999999999</v>
      </c>
      <c r="P53">
        <v>51.943000000000005</v>
      </c>
      <c r="Q53">
        <f t="shared" si="4"/>
        <v>52.095999999999997</v>
      </c>
      <c r="R53">
        <f t="shared" si="5"/>
        <v>51.493000000000002</v>
      </c>
    </row>
    <row r="54" spans="1:18">
      <c r="A54" t="s">
        <v>153</v>
      </c>
      <c r="B54" t="s">
        <v>94</v>
      </c>
      <c r="C54" t="s">
        <v>30</v>
      </c>
      <c r="D54" t="s">
        <v>23</v>
      </c>
      <c r="E54">
        <v>15884.16</v>
      </c>
      <c r="F54">
        <v>16509.46</v>
      </c>
      <c r="G54">
        <v>15166.691562981121</v>
      </c>
      <c r="H54">
        <v>15790.579342422487</v>
      </c>
      <c r="I54">
        <v>0.65</v>
      </c>
      <c r="J54">
        <v>0.4</v>
      </c>
      <c r="K54">
        <v>0</v>
      </c>
      <c r="L54">
        <f t="shared" si="3"/>
        <v>0.4</v>
      </c>
      <c r="M54">
        <v>1</v>
      </c>
      <c r="O54">
        <v>50.734000000000002</v>
      </c>
      <c r="P54">
        <v>50.244015671975951</v>
      </c>
      <c r="Q54">
        <f t="shared" si="4"/>
        <v>50.084000000000003</v>
      </c>
      <c r="R54">
        <f t="shared" si="5"/>
        <v>49.594015671975953</v>
      </c>
    </row>
    <row r="55" spans="1:18">
      <c r="A55" t="s">
        <v>154</v>
      </c>
      <c r="B55" t="s">
        <v>94</v>
      </c>
      <c r="C55" t="s">
        <v>30</v>
      </c>
      <c r="D55" t="s">
        <v>23</v>
      </c>
      <c r="E55">
        <v>16509.5</v>
      </c>
      <c r="F55">
        <v>16625.189999999999</v>
      </c>
      <c r="G55">
        <v>15790.619437563544</v>
      </c>
      <c r="H55">
        <v>15906.456548618955</v>
      </c>
      <c r="I55">
        <v>0.65</v>
      </c>
      <c r="J55">
        <v>0.4</v>
      </c>
      <c r="K55">
        <v>0</v>
      </c>
      <c r="L55">
        <f t="shared" si="3"/>
        <v>0.4</v>
      </c>
      <c r="M55">
        <v>1</v>
      </c>
      <c r="O55">
        <v>50.243838734767948</v>
      </c>
      <c r="P55">
        <v>49.311</v>
      </c>
      <c r="Q55">
        <f t="shared" si="4"/>
        <v>49.593838734767949</v>
      </c>
      <c r="R55">
        <f t="shared" si="5"/>
        <v>48.661000000000001</v>
      </c>
    </row>
    <row r="56" spans="1:18">
      <c r="A56" t="s">
        <v>155</v>
      </c>
      <c r="B56" t="s">
        <v>94</v>
      </c>
      <c r="C56" t="s">
        <v>30</v>
      </c>
      <c r="D56" t="s">
        <v>23</v>
      </c>
      <c r="E56">
        <v>16701.09</v>
      </c>
      <c r="F56">
        <v>16862.739999999998</v>
      </c>
      <c r="G56">
        <v>15981.380351386615</v>
      </c>
      <c r="H56">
        <v>16139.626187794969</v>
      </c>
      <c r="I56">
        <v>0.35</v>
      </c>
      <c r="J56">
        <v>0.4</v>
      </c>
      <c r="K56">
        <v>0</v>
      </c>
      <c r="L56">
        <f t="shared" si="3"/>
        <v>0.4</v>
      </c>
      <c r="M56">
        <v>1</v>
      </c>
      <c r="O56">
        <v>50.213999999999999</v>
      </c>
      <c r="P56">
        <v>50.465968825385048</v>
      </c>
      <c r="Q56">
        <f t="shared" si="4"/>
        <v>49.863999999999997</v>
      </c>
      <c r="R56">
        <f t="shared" si="5"/>
        <v>50.115968825385046</v>
      </c>
    </row>
    <row r="57" spans="1:18">
      <c r="A57" t="s">
        <v>156</v>
      </c>
      <c r="B57" t="s">
        <v>98</v>
      </c>
      <c r="C57" t="s">
        <v>30</v>
      </c>
      <c r="D57" t="s">
        <v>23</v>
      </c>
      <c r="E57">
        <v>16862.78</v>
      </c>
      <c r="F57">
        <v>17240.34</v>
      </c>
      <c r="G57">
        <v>16139.665356642647</v>
      </c>
      <c r="H57">
        <v>16509.336603907021</v>
      </c>
      <c r="I57">
        <v>0.55000000000000004</v>
      </c>
      <c r="J57">
        <v>0.4</v>
      </c>
      <c r="K57">
        <v>0</v>
      </c>
      <c r="L57">
        <f t="shared" si="3"/>
        <v>0.4</v>
      </c>
      <c r="M57">
        <v>1</v>
      </c>
      <c r="O57">
        <v>50.465988559322035</v>
      </c>
      <c r="P57">
        <v>50.250011440677966</v>
      </c>
      <c r="Q57">
        <f t="shared" si="4"/>
        <v>49.915988559322038</v>
      </c>
      <c r="R57">
        <f t="shared" si="5"/>
        <v>49.700011440677969</v>
      </c>
    </row>
    <row r="58" spans="1:18">
      <c r="A58" t="s">
        <v>157</v>
      </c>
      <c r="B58" t="s">
        <v>98</v>
      </c>
      <c r="C58" t="s">
        <v>30</v>
      </c>
      <c r="D58" t="s">
        <v>23</v>
      </c>
      <c r="E58">
        <v>17240.38</v>
      </c>
      <c r="F58">
        <v>17619.189999999999</v>
      </c>
      <c r="G58">
        <v>16509.375772852432</v>
      </c>
      <c r="H58">
        <v>16880.304294985664</v>
      </c>
      <c r="I58">
        <v>0.6</v>
      </c>
      <c r="J58">
        <v>0.4</v>
      </c>
      <c r="K58">
        <v>0</v>
      </c>
      <c r="L58">
        <f t="shared" si="3"/>
        <v>0.4</v>
      </c>
      <c r="M58">
        <v>1</v>
      </c>
      <c r="O58">
        <v>50.24992482512868</v>
      </c>
      <c r="P58">
        <v>48.82607517487132</v>
      </c>
      <c r="Q58">
        <f t="shared" si="4"/>
        <v>49.649924825128679</v>
      </c>
      <c r="R58">
        <f t="shared" si="5"/>
        <v>48.226075174871319</v>
      </c>
    </row>
    <row r="59" spans="1:18">
      <c r="A59" t="s">
        <v>158</v>
      </c>
      <c r="B59" t="s">
        <v>98</v>
      </c>
      <c r="C59" t="s">
        <v>30</v>
      </c>
      <c r="D59" t="s">
        <v>23</v>
      </c>
      <c r="E59">
        <v>17619.23</v>
      </c>
      <c r="F59">
        <v>18219.240000000002</v>
      </c>
      <c r="G59">
        <v>16880.343488052389</v>
      </c>
      <c r="H59">
        <v>17473.701379902999</v>
      </c>
      <c r="I59">
        <v>0.75</v>
      </c>
      <c r="J59">
        <v>0.4</v>
      </c>
      <c r="K59">
        <v>0</v>
      </c>
      <c r="L59">
        <f t="shared" si="3"/>
        <v>0.4</v>
      </c>
      <c r="M59">
        <v>1</v>
      </c>
      <c r="O59">
        <v>48.824972501374937</v>
      </c>
      <c r="P59">
        <v>48</v>
      </c>
      <c r="Q59">
        <f t="shared" si="4"/>
        <v>48.074972501374937</v>
      </c>
      <c r="R59">
        <f t="shared" si="5"/>
        <v>47.25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21EE-6710-43F7-A81F-A20B7CB5AA5A}">
  <dimension ref="A1:C13"/>
  <sheetViews>
    <sheetView workbookViewId="0">
      <selection activeCell="E4" sqref="E4"/>
    </sheetView>
  </sheetViews>
  <sheetFormatPr defaultRowHeight="14"/>
  <cols>
    <col min="1" max="1" width="6" bestFit="1" customWidth="1"/>
    <col min="2" max="2" width="20.75" bestFit="1" customWidth="1"/>
    <col min="3" max="3" width="36.58203125" customWidth="1"/>
  </cols>
  <sheetData>
    <row r="1" spans="1:3" ht="14.5">
      <c r="A1" s="19" t="s">
        <v>1</v>
      </c>
      <c r="B1" s="19" t="s">
        <v>201</v>
      </c>
      <c r="C1" s="19" t="s">
        <v>202</v>
      </c>
    </row>
    <row r="2" spans="1:3" ht="42">
      <c r="A2" s="20" t="s">
        <v>19</v>
      </c>
      <c r="B2" s="21" t="s">
        <v>203</v>
      </c>
      <c r="C2" s="21" t="s">
        <v>204</v>
      </c>
    </row>
    <row r="3" spans="1:3" ht="28">
      <c r="A3" s="20" t="s">
        <v>37</v>
      </c>
      <c r="B3" s="21" t="s">
        <v>205</v>
      </c>
      <c r="C3" s="21" t="s">
        <v>206</v>
      </c>
    </row>
    <row r="4" spans="1:3" ht="28">
      <c r="A4" s="20" t="s">
        <v>45</v>
      </c>
      <c r="B4" s="21" t="s">
        <v>207</v>
      </c>
      <c r="C4" s="21" t="s">
        <v>208</v>
      </c>
    </row>
    <row r="5" spans="1:3" ht="42">
      <c r="A5" s="20" t="s">
        <v>45</v>
      </c>
      <c r="B5" s="21" t="s">
        <v>209</v>
      </c>
      <c r="C5" s="21" t="s">
        <v>210</v>
      </c>
    </row>
    <row r="6" spans="1:3" ht="56">
      <c r="A6" s="20" t="s">
        <v>53</v>
      </c>
      <c r="B6" s="21" t="s">
        <v>211</v>
      </c>
      <c r="C6" s="21" t="s">
        <v>212</v>
      </c>
    </row>
    <row r="7" spans="1:3" ht="28">
      <c r="A7" s="20" t="s">
        <v>53</v>
      </c>
      <c r="B7" s="21" t="s">
        <v>213</v>
      </c>
      <c r="C7" s="21" t="s">
        <v>214</v>
      </c>
    </row>
    <row r="8" spans="1:3" ht="42.5">
      <c r="A8" s="20" t="s">
        <v>61</v>
      </c>
      <c r="B8" s="21" t="s">
        <v>215</v>
      </c>
      <c r="C8" s="21" t="s">
        <v>216</v>
      </c>
    </row>
    <row r="9" spans="1:3" ht="42.5">
      <c r="A9" s="20" t="s">
        <v>61</v>
      </c>
      <c r="B9" s="21" t="s">
        <v>217</v>
      </c>
      <c r="C9" s="21" t="s">
        <v>218</v>
      </c>
    </row>
    <row r="10" spans="1:3" ht="28">
      <c r="A10" s="20" t="s">
        <v>74</v>
      </c>
      <c r="B10" s="21" t="s">
        <v>219</v>
      </c>
      <c r="C10" s="21" t="s">
        <v>220</v>
      </c>
    </row>
    <row r="11" spans="1:3" ht="42">
      <c r="A11" s="20" t="s">
        <v>74</v>
      </c>
      <c r="B11" s="21" t="s">
        <v>221</v>
      </c>
      <c r="C11" s="21" t="s">
        <v>222</v>
      </c>
    </row>
    <row r="12" spans="1:3" ht="56">
      <c r="A12" s="20" t="s">
        <v>78</v>
      </c>
      <c r="B12" s="21" t="s">
        <v>223</v>
      </c>
      <c r="C12" s="21" t="s">
        <v>224</v>
      </c>
    </row>
    <row r="13" spans="1:3" ht="28">
      <c r="A13" s="20" t="s">
        <v>92</v>
      </c>
      <c r="B13" s="21" t="s">
        <v>225</v>
      </c>
      <c r="C13" s="21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showGridLines="0" zoomScale="55" zoomScaleNormal="55" workbookViewId="0">
      <pane ySplit="1" topLeftCell="A2" activePane="bottomLeft" state="frozen"/>
      <selection pane="bottomLeft" activeCell="M6" sqref="M6"/>
    </sheetView>
  </sheetViews>
  <sheetFormatPr defaultRowHeight="14"/>
  <cols>
    <col min="1" max="1" width="5.4140625" style="12" bestFit="1" customWidth="1"/>
    <col min="2" max="2" width="9.5" style="12" bestFit="1" customWidth="1"/>
    <col min="3" max="3" width="6.9140625" style="12" bestFit="1" customWidth="1"/>
    <col min="4" max="4" width="7.6640625" style="12" bestFit="1" customWidth="1"/>
    <col min="5" max="5" width="10.83203125" style="12" bestFit="1" customWidth="1"/>
    <col min="6" max="6" width="17.1640625" style="12" bestFit="1" customWidth="1"/>
    <col min="7" max="7" width="15.83203125" style="12" bestFit="1" customWidth="1"/>
    <col min="8" max="8" width="15.4140625" style="12" bestFit="1" customWidth="1"/>
    <col min="9" max="9" width="16" style="12" bestFit="1" customWidth="1"/>
    <col min="10" max="10" width="14.58203125" style="12" bestFit="1" customWidth="1"/>
    <col min="11" max="11" width="15.4140625" style="12" bestFit="1" customWidth="1"/>
    <col min="12" max="12" width="15.58203125" style="12" bestFit="1" customWidth="1"/>
    <col min="13" max="13" width="13.4140625" style="12" bestFit="1" customWidth="1"/>
    <col min="14" max="14" width="14.1640625" style="12" bestFit="1" customWidth="1"/>
    <col min="15" max="15" width="16.33203125" style="12" bestFit="1" customWidth="1"/>
    <col min="16" max="16" width="16.9140625" style="12" bestFit="1" customWidth="1"/>
    <col min="17" max="16384" width="8.6640625" style="12"/>
  </cols>
  <sheetData>
    <row r="1" spans="1:16" ht="26">
      <c r="A1" s="13" t="s">
        <v>0</v>
      </c>
      <c r="B1" s="13" t="s">
        <v>173</v>
      </c>
      <c r="C1" s="13" t="s">
        <v>159</v>
      </c>
      <c r="D1" s="13" t="s">
        <v>1</v>
      </c>
      <c r="E1" s="13" t="s">
        <v>172</v>
      </c>
      <c r="F1" s="13" t="s">
        <v>174</v>
      </c>
      <c r="G1" s="13" t="s">
        <v>175</v>
      </c>
      <c r="H1" s="13" t="s">
        <v>176</v>
      </c>
      <c r="I1" s="13" t="s">
        <v>177</v>
      </c>
      <c r="J1" s="13" t="s">
        <v>178</v>
      </c>
      <c r="K1" s="13" t="s">
        <v>179</v>
      </c>
      <c r="L1" s="13" t="s">
        <v>180</v>
      </c>
      <c r="M1" s="13" t="s">
        <v>14</v>
      </c>
      <c r="N1" s="13" t="s">
        <v>15</v>
      </c>
      <c r="O1" s="13" t="s">
        <v>16</v>
      </c>
      <c r="P1" s="13" t="s">
        <v>17</v>
      </c>
    </row>
    <row r="2" spans="1:16">
      <c r="A2" s="14" t="s">
        <v>182</v>
      </c>
      <c r="B2" s="15">
        <v>1</v>
      </c>
      <c r="C2" s="14" t="s">
        <v>160</v>
      </c>
      <c r="D2" s="14" t="s">
        <v>25</v>
      </c>
      <c r="E2" s="14" t="s">
        <v>183</v>
      </c>
      <c r="F2" s="14" t="s">
        <v>181</v>
      </c>
      <c r="G2" s="16">
        <v>3628.12</v>
      </c>
      <c r="H2" s="16">
        <v>3628.12</v>
      </c>
      <c r="I2" s="16">
        <v>3668.12</v>
      </c>
      <c r="J2" s="17">
        <f t="shared" ref="J2:J5" si="0">IF(I2="","",I2-H2)</f>
        <v>40</v>
      </c>
      <c r="K2" s="17">
        <v>0.8</v>
      </c>
      <c r="L2" s="17">
        <v>0.8</v>
      </c>
      <c r="M2" s="18">
        <v>51.150304834704706</v>
      </c>
      <c r="N2" s="18">
        <v>51.348074930619795</v>
      </c>
      <c r="O2" s="18">
        <f>M2-L2</f>
        <v>50.350304834704708</v>
      </c>
      <c r="P2" s="18">
        <f>IF(N2="","",N2-L2)</f>
        <v>50.548074930619798</v>
      </c>
    </row>
    <row r="3" spans="1:16">
      <c r="A3" s="14" t="s">
        <v>184</v>
      </c>
      <c r="B3" s="15">
        <v>1</v>
      </c>
      <c r="C3" s="14" t="s">
        <v>160</v>
      </c>
      <c r="D3" s="14" t="s">
        <v>37</v>
      </c>
      <c r="E3" s="14" t="s">
        <v>185</v>
      </c>
      <c r="F3" s="14" t="s">
        <v>161</v>
      </c>
      <c r="G3" s="16">
        <v>6283.89</v>
      </c>
      <c r="H3" s="16">
        <v>6283.89</v>
      </c>
      <c r="I3" s="16">
        <v>6297.39</v>
      </c>
      <c r="J3" s="17">
        <f t="shared" si="0"/>
        <v>13.5</v>
      </c>
      <c r="K3" s="17">
        <v>0.7</v>
      </c>
      <c r="L3" s="17">
        <v>1.2999999999999972</v>
      </c>
      <c r="M3" s="18">
        <v>54.676519560094263</v>
      </c>
      <c r="N3" s="18">
        <v>54.655946111547522</v>
      </c>
      <c r="O3" s="18">
        <f>M3-L3</f>
        <v>53.376519560094266</v>
      </c>
      <c r="P3" s="18">
        <f>IF(N3="","",N3-L3)</f>
        <v>53.355946111547524</v>
      </c>
    </row>
    <row r="4" spans="1:16">
      <c r="A4" s="14" t="s">
        <v>186</v>
      </c>
      <c r="B4" s="15">
        <v>1</v>
      </c>
      <c r="C4" s="14" t="s">
        <v>160</v>
      </c>
      <c r="D4" s="14" t="s">
        <v>45</v>
      </c>
      <c r="E4" s="14" t="s">
        <v>183</v>
      </c>
      <c r="F4" s="14" t="s">
        <v>163</v>
      </c>
      <c r="G4" s="16">
        <v>8308.2900000000009</v>
      </c>
      <c r="H4" s="16">
        <v>8308.2900000000009</v>
      </c>
      <c r="I4" s="16">
        <v>8348.2900000000009</v>
      </c>
      <c r="J4" s="17">
        <f t="shared" si="0"/>
        <v>40</v>
      </c>
      <c r="K4" s="17">
        <v>0.4</v>
      </c>
      <c r="L4" s="17">
        <v>0.4</v>
      </c>
      <c r="M4" s="18">
        <v>54.025364158657034</v>
      </c>
      <c r="N4" s="18">
        <v>54.287859785984487</v>
      </c>
      <c r="O4" s="18">
        <f>M4-L4</f>
        <v>53.625364158657035</v>
      </c>
      <c r="P4" s="18">
        <f>IF(N4="","",N4-L4)</f>
        <v>53.887859785984489</v>
      </c>
    </row>
    <row r="5" spans="1:16">
      <c r="A5" s="14" t="s">
        <v>187</v>
      </c>
      <c r="B5" s="15">
        <v>1</v>
      </c>
      <c r="C5" s="14" t="s">
        <v>160</v>
      </c>
      <c r="D5" s="14" t="s">
        <v>53</v>
      </c>
      <c r="E5" s="14" t="s">
        <v>185</v>
      </c>
      <c r="F5" s="14" t="s">
        <v>164</v>
      </c>
      <c r="G5" s="16">
        <v>9942.9</v>
      </c>
      <c r="H5" s="16">
        <v>9942.9</v>
      </c>
      <c r="I5" s="16">
        <v>9949.9</v>
      </c>
      <c r="J5" s="17">
        <f t="shared" si="0"/>
        <v>7</v>
      </c>
      <c r="K5" s="17">
        <v>0.8</v>
      </c>
      <c r="L5" s="17">
        <v>0.95000000000000284</v>
      </c>
      <c r="M5" s="18">
        <v>54.859797486299136</v>
      </c>
      <c r="N5" s="18">
        <v>54.85484860423135</v>
      </c>
      <c r="O5" s="18">
        <f>M5-L5</f>
        <v>53.909797486299134</v>
      </c>
      <c r="P5" s="18">
        <f>IF(N5="","",N5-L5)</f>
        <v>53.904848604231347</v>
      </c>
    </row>
    <row r="6" spans="1:16">
      <c r="A6" s="14" t="s">
        <v>188</v>
      </c>
      <c r="B6" s="15">
        <v>1</v>
      </c>
      <c r="C6" s="14" t="s">
        <v>160</v>
      </c>
      <c r="D6" s="14" t="s">
        <v>78</v>
      </c>
      <c r="E6" s="14" t="s">
        <v>185</v>
      </c>
      <c r="F6" s="14" t="s">
        <v>165</v>
      </c>
      <c r="G6" s="16">
        <v>14714.76</v>
      </c>
      <c r="H6" s="16">
        <v>14714.76</v>
      </c>
      <c r="I6" s="16">
        <v>14718.76</v>
      </c>
      <c r="J6" s="17">
        <f t="shared" ref="J6:J27" si="1">IF(I6="","",I6-H6)</f>
        <v>4</v>
      </c>
      <c r="K6" s="17">
        <v>0.4</v>
      </c>
      <c r="L6" s="17">
        <v>0.64999999999999858</v>
      </c>
      <c r="M6" s="18">
        <v>53.189656734372996</v>
      </c>
      <c r="N6" s="18">
        <v>53.187253437372121</v>
      </c>
      <c r="O6" s="18">
        <f>M6-L6</f>
        <v>52.539656734372997</v>
      </c>
      <c r="P6" s="18">
        <f>IF(N6="","",N6-L6)</f>
        <v>52.537253437372122</v>
      </c>
    </row>
    <row r="7" spans="1:16">
      <c r="A7" s="14" t="s">
        <v>189</v>
      </c>
      <c r="B7" s="15">
        <v>1</v>
      </c>
      <c r="C7" s="14" t="s">
        <v>160</v>
      </c>
      <c r="D7" s="14" t="s">
        <v>78</v>
      </c>
      <c r="E7" s="14" t="s">
        <v>185</v>
      </c>
      <c r="F7" s="14" t="s">
        <v>165</v>
      </c>
      <c r="G7" s="16">
        <v>14721</v>
      </c>
      <c r="H7" s="16">
        <v>14721</v>
      </c>
      <c r="I7" s="16">
        <v>14729</v>
      </c>
      <c r="J7" s="17">
        <f t="shared" si="1"/>
        <v>8</v>
      </c>
      <c r="K7" s="17">
        <v>0.4</v>
      </c>
      <c r="L7" s="17">
        <v>0.64999999999999858</v>
      </c>
      <c r="M7" s="18">
        <v>53.185907591051631</v>
      </c>
      <c r="N7" s="18">
        <v>53.181100997049874</v>
      </c>
      <c r="O7" s="18">
        <f>M7-L7</f>
        <v>52.535907591051632</v>
      </c>
      <c r="P7" s="18">
        <f>IF(N7="","",N7-L7)</f>
        <v>52.531100997049876</v>
      </c>
    </row>
    <row r="8" spans="1:16">
      <c r="A8" s="14" t="s">
        <v>190</v>
      </c>
      <c r="B8" s="15">
        <v>1</v>
      </c>
      <c r="C8" s="14" t="s">
        <v>160</v>
      </c>
      <c r="D8" s="14" t="s">
        <v>78</v>
      </c>
      <c r="E8" s="14" t="s">
        <v>183</v>
      </c>
      <c r="F8" s="14" t="s">
        <v>191</v>
      </c>
      <c r="G8" s="16">
        <v>15329</v>
      </c>
      <c r="H8" s="16">
        <v>15329</v>
      </c>
      <c r="I8" s="16">
        <v>15365.75</v>
      </c>
      <c r="J8" s="17">
        <f t="shared" si="1"/>
        <v>36.75</v>
      </c>
      <c r="K8" s="17">
        <v>1</v>
      </c>
      <c r="L8" s="17">
        <v>1</v>
      </c>
      <c r="M8" s="18">
        <v>53.342509074316411</v>
      </c>
      <c r="N8" s="18">
        <v>53.356999999999999</v>
      </c>
      <c r="O8" s="18">
        <f>M8-L8</f>
        <v>52.342509074316411</v>
      </c>
      <c r="P8" s="18">
        <f>IF(N8="","",N8-L8)</f>
        <v>52.356999999999999</v>
      </c>
    </row>
    <row r="9" spans="1:16">
      <c r="A9" s="14" t="s">
        <v>182</v>
      </c>
      <c r="B9" s="15">
        <v>1</v>
      </c>
      <c r="C9" s="14" t="s">
        <v>166</v>
      </c>
      <c r="D9" s="14" t="s">
        <v>25</v>
      </c>
      <c r="E9" s="14" t="s">
        <v>183</v>
      </c>
      <c r="F9" s="14" t="s">
        <v>192</v>
      </c>
      <c r="G9" s="16">
        <v>3628.12</v>
      </c>
      <c r="H9" s="16">
        <v>3628.12</v>
      </c>
      <c r="I9" s="16">
        <v>3668.12</v>
      </c>
      <c r="J9" s="17">
        <f t="shared" si="1"/>
        <v>40</v>
      </c>
      <c r="K9" s="17">
        <v>0.4</v>
      </c>
      <c r="L9" s="17">
        <v>0.4</v>
      </c>
      <c r="M9" s="18">
        <v>51.150304834704706</v>
      </c>
      <c r="N9" s="18">
        <v>51.348074930619795</v>
      </c>
      <c r="O9" s="18">
        <f>M9-L9</f>
        <v>50.750304834704707</v>
      </c>
      <c r="P9" s="18">
        <f>IF(N9="","",N9-L9)</f>
        <v>50.948074930619796</v>
      </c>
    </row>
    <row r="10" spans="1:16">
      <c r="A10" s="14" t="s">
        <v>184</v>
      </c>
      <c r="B10" s="15">
        <v>1</v>
      </c>
      <c r="C10" s="14" t="s">
        <v>166</v>
      </c>
      <c r="D10" s="14" t="s">
        <v>37</v>
      </c>
      <c r="E10" s="14" t="s">
        <v>185</v>
      </c>
      <c r="F10" s="14" t="s">
        <v>167</v>
      </c>
      <c r="G10" s="16">
        <v>6283.89</v>
      </c>
      <c r="H10" s="16">
        <v>6283.89</v>
      </c>
      <c r="I10" s="16">
        <v>6297.39</v>
      </c>
      <c r="J10" s="17">
        <f t="shared" si="1"/>
        <v>13.5</v>
      </c>
      <c r="K10" s="17">
        <v>0.4</v>
      </c>
      <c r="L10" s="17">
        <v>0.75</v>
      </c>
      <c r="M10" s="18">
        <v>54.676519560094263</v>
      </c>
      <c r="N10" s="18">
        <v>54.655946111547522</v>
      </c>
      <c r="O10" s="18">
        <f>M10-L10</f>
        <v>53.926519560094263</v>
      </c>
      <c r="P10" s="18">
        <f>IF(N10="","",N10-L10)</f>
        <v>53.905946111547522</v>
      </c>
    </row>
    <row r="11" spans="1:16">
      <c r="A11" s="14" t="s">
        <v>186</v>
      </c>
      <c r="B11" s="15">
        <v>1</v>
      </c>
      <c r="C11" s="14" t="s">
        <v>166</v>
      </c>
      <c r="D11" s="14" t="s">
        <v>45</v>
      </c>
      <c r="E11" s="14" t="s">
        <v>183</v>
      </c>
      <c r="F11" s="14" t="s">
        <v>169</v>
      </c>
      <c r="G11" s="16">
        <v>8308.2900000000009</v>
      </c>
      <c r="H11" s="16">
        <v>8308.2900000000009</v>
      </c>
      <c r="I11" s="16">
        <v>8348.2900000000009</v>
      </c>
      <c r="J11" s="17">
        <f t="shared" si="1"/>
        <v>40</v>
      </c>
      <c r="K11" s="17">
        <v>0.4</v>
      </c>
      <c r="L11" s="17">
        <v>0.4</v>
      </c>
      <c r="M11" s="18">
        <v>54.025364158657034</v>
      </c>
      <c r="N11" s="18">
        <v>54.287859785984487</v>
      </c>
      <c r="O11" s="18">
        <f>M11-L11</f>
        <v>53.625364158657035</v>
      </c>
      <c r="P11" s="18">
        <f>IF(N11="","",N11-L11)</f>
        <v>53.887859785984489</v>
      </c>
    </row>
    <row r="12" spans="1:16">
      <c r="A12" s="14" t="s">
        <v>187</v>
      </c>
      <c r="B12" s="15">
        <v>1</v>
      </c>
      <c r="C12" s="14" t="s">
        <v>166</v>
      </c>
      <c r="D12" s="14" t="s">
        <v>53</v>
      </c>
      <c r="E12" s="14" t="s">
        <v>185</v>
      </c>
      <c r="F12" s="14" t="s">
        <v>170</v>
      </c>
      <c r="G12" s="16">
        <v>9942.9</v>
      </c>
      <c r="H12" s="16">
        <v>9942.9</v>
      </c>
      <c r="I12" s="16">
        <v>9949.9</v>
      </c>
      <c r="J12" s="17">
        <f t="shared" si="1"/>
        <v>7</v>
      </c>
      <c r="K12" s="17">
        <v>0.8</v>
      </c>
      <c r="L12" s="17">
        <v>0.95000000000000284</v>
      </c>
      <c r="M12" s="18">
        <v>54.859797486299136</v>
      </c>
      <c r="N12" s="18">
        <v>54.85484860423135</v>
      </c>
      <c r="O12" s="18">
        <f>M12-L12</f>
        <v>53.909797486299134</v>
      </c>
      <c r="P12" s="18">
        <f>IF(N12="","",N12-L12)</f>
        <v>53.904848604231347</v>
      </c>
    </row>
    <row r="13" spans="1:16">
      <c r="A13" s="14" t="s">
        <v>188</v>
      </c>
      <c r="B13" s="15">
        <v>1</v>
      </c>
      <c r="C13" s="14" t="s">
        <v>166</v>
      </c>
      <c r="D13" s="14" t="s">
        <v>78</v>
      </c>
      <c r="E13" s="14" t="s">
        <v>185</v>
      </c>
      <c r="F13" s="14" t="s">
        <v>171</v>
      </c>
      <c r="G13" s="16">
        <v>14714.76</v>
      </c>
      <c r="H13" s="16">
        <v>14714.76</v>
      </c>
      <c r="I13" s="16">
        <v>14718.76</v>
      </c>
      <c r="J13" s="17">
        <f t="shared" si="1"/>
        <v>4</v>
      </c>
      <c r="K13" s="17">
        <v>0.4</v>
      </c>
      <c r="L13" s="17">
        <v>0.64999999999999858</v>
      </c>
      <c r="M13" s="18">
        <v>53.189656734372996</v>
      </c>
      <c r="N13" s="18">
        <v>53.187253437372121</v>
      </c>
      <c r="O13" s="18">
        <f>M13-L13</f>
        <v>52.539656734372997</v>
      </c>
      <c r="P13" s="18">
        <f>IF(N13="","",N13-L13)</f>
        <v>52.537253437372122</v>
      </c>
    </row>
    <row r="14" spans="1:16">
      <c r="A14" s="14" t="s">
        <v>189</v>
      </c>
      <c r="B14" s="15">
        <v>1</v>
      </c>
      <c r="C14" s="14" t="s">
        <v>166</v>
      </c>
      <c r="D14" s="14" t="s">
        <v>78</v>
      </c>
      <c r="E14" s="14" t="s">
        <v>185</v>
      </c>
      <c r="F14" s="14" t="s">
        <v>171</v>
      </c>
      <c r="G14" s="16">
        <v>14721</v>
      </c>
      <c r="H14" s="16">
        <v>14721</v>
      </c>
      <c r="I14" s="16">
        <v>14729</v>
      </c>
      <c r="J14" s="17">
        <f t="shared" si="1"/>
        <v>8</v>
      </c>
      <c r="K14" s="17">
        <v>0.4</v>
      </c>
      <c r="L14" s="17">
        <v>0.64999999999999858</v>
      </c>
      <c r="M14" s="18">
        <v>53.185907591051631</v>
      </c>
      <c r="N14" s="18">
        <v>53.181100997049874</v>
      </c>
      <c r="O14" s="18">
        <f>M14-L14</f>
        <v>52.535907591051632</v>
      </c>
      <c r="P14" s="18">
        <f>IF(N14="","",N14-L14)</f>
        <v>52.531100997049876</v>
      </c>
    </row>
    <row r="15" spans="1:16">
      <c r="A15" s="14" t="s">
        <v>190</v>
      </c>
      <c r="B15" s="15">
        <v>1</v>
      </c>
      <c r="C15" s="14" t="s">
        <v>166</v>
      </c>
      <c r="D15" s="14" t="s">
        <v>78</v>
      </c>
      <c r="E15" s="14" t="s">
        <v>183</v>
      </c>
      <c r="F15" s="14" t="s">
        <v>193</v>
      </c>
      <c r="G15" s="16">
        <v>15329</v>
      </c>
      <c r="H15" s="16">
        <v>15329</v>
      </c>
      <c r="I15" s="16">
        <v>15365.75</v>
      </c>
      <c r="J15" s="17">
        <f t="shared" si="1"/>
        <v>36.75</v>
      </c>
      <c r="K15" s="17">
        <v>0.4</v>
      </c>
      <c r="L15" s="17">
        <v>0.4</v>
      </c>
      <c r="M15" s="18">
        <v>53.342509074316411</v>
      </c>
      <c r="N15" s="18">
        <v>53.356999999999999</v>
      </c>
      <c r="O15" s="18">
        <f>M15-L15</f>
        <v>52.942509074316412</v>
      </c>
      <c r="P15" s="18">
        <f>IF(N15="","",N15-L15)</f>
        <v>52.957000000000001</v>
      </c>
    </row>
    <row r="16" spans="1:16">
      <c r="A16" s="14" t="s">
        <v>184</v>
      </c>
      <c r="B16" s="15">
        <v>2</v>
      </c>
      <c r="C16" s="14" t="s">
        <v>160</v>
      </c>
      <c r="D16" s="14" t="s">
        <v>37</v>
      </c>
      <c r="E16" s="14" t="s">
        <v>185</v>
      </c>
      <c r="F16" s="14" t="s">
        <v>161</v>
      </c>
      <c r="G16" s="16">
        <v>6283.89</v>
      </c>
      <c r="H16" s="16">
        <v>6283.89</v>
      </c>
      <c r="I16" s="16">
        <v>6297.39</v>
      </c>
      <c r="J16" s="17">
        <f t="shared" si="1"/>
        <v>13.5</v>
      </c>
      <c r="K16" s="17">
        <v>0.7</v>
      </c>
      <c r="L16" s="17">
        <v>1.3</v>
      </c>
      <c r="M16" s="18">
        <v>54.676519560094263</v>
      </c>
      <c r="N16" s="18">
        <v>54.655946111547522</v>
      </c>
      <c r="O16" s="18">
        <f>M16-L16</f>
        <v>53.376519560094266</v>
      </c>
      <c r="P16" s="18">
        <f>IF(N16="","",N16-L16)</f>
        <v>53.355946111547524</v>
      </c>
    </row>
    <row r="17" spans="1:16">
      <c r="A17" s="14" t="s">
        <v>194</v>
      </c>
      <c r="B17" s="15">
        <v>2</v>
      </c>
      <c r="C17" s="14" t="s">
        <v>160</v>
      </c>
      <c r="D17" s="14" t="s">
        <v>45</v>
      </c>
      <c r="E17" s="14" t="s">
        <v>195</v>
      </c>
      <c r="F17" s="14" t="s">
        <v>162</v>
      </c>
      <c r="G17" s="16">
        <v>8339.85</v>
      </c>
      <c r="H17" s="16">
        <v>8279.9979472260457</v>
      </c>
      <c r="I17" s="16">
        <v>8347.4225503470516</v>
      </c>
      <c r="J17" s="17">
        <f t="shared" si="1"/>
        <v>67.42460312100593</v>
      </c>
      <c r="K17" s="17">
        <v>0.4</v>
      </c>
      <c r="L17" s="17">
        <v>0.75</v>
      </c>
      <c r="M17" s="18">
        <v>52.552832037210464</v>
      </c>
      <c r="N17" s="18">
        <v>53.055182999372484</v>
      </c>
      <c r="O17" s="18">
        <f>M17-L17</f>
        <v>51.802832037210464</v>
      </c>
      <c r="P17" s="18">
        <f>IF(N17="","",N17-L17)</f>
        <v>52.305182999372484</v>
      </c>
    </row>
    <row r="18" spans="1:16">
      <c r="A18" s="14" t="s">
        <v>196</v>
      </c>
      <c r="B18" s="15">
        <v>2</v>
      </c>
      <c r="C18" s="14" t="s">
        <v>160</v>
      </c>
      <c r="D18" s="14" t="s">
        <v>53</v>
      </c>
      <c r="E18" s="14" t="s">
        <v>195</v>
      </c>
      <c r="F18" s="14" t="s">
        <v>164</v>
      </c>
      <c r="G18" s="16">
        <v>9942.9</v>
      </c>
      <c r="H18" s="16">
        <v>9942.9</v>
      </c>
      <c r="I18" s="16"/>
      <c r="J18" s="17" t="str">
        <f t="shared" si="1"/>
        <v/>
      </c>
      <c r="K18" s="17">
        <v>0.8</v>
      </c>
      <c r="L18" s="17">
        <v>0.95</v>
      </c>
      <c r="M18" s="18">
        <v>53.898431376965526</v>
      </c>
      <c r="N18" s="18"/>
      <c r="O18" s="18">
        <f>M18-L18</f>
        <v>52.948431376965523</v>
      </c>
      <c r="P18" s="18" t="str">
        <f>IF(N18="","",N18-L18)</f>
        <v/>
      </c>
    </row>
    <row r="19" spans="1:16">
      <c r="A19" s="14" t="s">
        <v>197</v>
      </c>
      <c r="B19" s="15">
        <v>2</v>
      </c>
      <c r="C19" s="14" t="s">
        <v>160</v>
      </c>
      <c r="D19" s="14" t="s">
        <v>61</v>
      </c>
      <c r="E19" s="14" t="s">
        <v>195</v>
      </c>
      <c r="F19" s="14" t="s">
        <v>69</v>
      </c>
      <c r="G19" s="16">
        <v>11625.23</v>
      </c>
      <c r="H19" s="16">
        <v>11613.80028039997</v>
      </c>
      <c r="I19" s="16">
        <v>11628.895961886505</v>
      </c>
      <c r="J19" s="17">
        <f t="shared" si="1"/>
        <v>15.095681486534886</v>
      </c>
      <c r="K19" s="17">
        <v>0.8</v>
      </c>
      <c r="L19" s="17">
        <v>1.2</v>
      </c>
      <c r="M19" s="18">
        <v>51.99080815892637</v>
      </c>
      <c r="N19" s="18">
        <v>52.003740256838498</v>
      </c>
      <c r="O19" s="18">
        <f>M19-L19</f>
        <v>50.790808158926367</v>
      </c>
      <c r="P19" s="18">
        <f>IF(N19="","",N19-L19)</f>
        <v>50.803740256838495</v>
      </c>
    </row>
    <row r="20" spans="1:16">
      <c r="A20" s="14" t="s">
        <v>198</v>
      </c>
      <c r="B20" s="15">
        <v>2</v>
      </c>
      <c r="C20" s="14" t="s">
        <v>160</v>
      </c>
      <c r="D20" s="14" t="s">
        <v>199</v>
      </c>
      <c r="E20" s="14" t="s">
        <v>195</v>
      </c>
      <c r="F20" s="14" t="s">
        <v>76</v>
      </c>
      <c r="G20" s="16">
        <v>14064.93</v>
      </c>
      <c r="H20" s="16">
        <v>14054.379471587017</v>
      </c>
      <c r="I20" s="16">
        <v>14102.980318829883</v>
      </c>
      <c r="J20" s="17">
        <f t="shared" si="1"/>
        <v>48.600847242865711</v>
      </c>
      <c r="K20" s="17">
        <v>0.4</v>
      </c>
      <c r="L20" s="17">
        <v>0.75</v>
      </c>
      <c r="M20" s="18">
        <v>53.575393194893422</v>
      </c>
      <c r="N20" s="18">
        <v>53.376171238534155</v>
      </c>
      <c r="O20" s="18">
        <f>M20-L20</f>
        <v>52.825393194893422</v>
      </c>
      <c r="P20" s="18">
        <f>IF(N20="","",N20-L20)</f>
        <v>52.626171238534155</v>
      </c>
    </row>
    <row r="21" spans="1:16">
      <c r="A21" s="14" t="s">
        <v>200</v>
      </c>
      <c r="B21" s="15">
        <v>2</v>
      </c>
      <c r="C21" s="14" t="s">
        <v>160</v>
      </c>
      <c r="D21" s="14" t="s">
        <v>78</v>
      </c>
      <c r="E21" s="14" t="s">
        <v>195</v>
      </c>
      <c r="F21" s="14" t="s">
        <v>165</v>
      </c>
      <c r="G21" s="16">
        <v>14714.76</v>
      </c>
      <c r="H21" s="16">
        <v>14714.76</v>
      </c>
      <c r="I21" s="16"/>
      <c r="J21" s="17" t="str">
        <f t="shared" si="1"/>
        <v/>
      </c>
      <c r="K21" s="17">
        <v>0.4</v>
      </c>
      <c r="L21" s="17">
        <v>0.65</v>
      </c>
      <c r="M21" s="18">
        <v>53.182452027021604</v>
      </c>
      <c r="N21" s="18"/>
      <c r="O21" s="18">
        <f>M21-L21</f>
        <v>52.532452027021606</v>
      </c>
      <c r="P21" s="18" t="str">
        <f>IF(N21="","",N21-L21)</f>
        <v/>
      </c>
    </row>
    <row r="22" spans="1:16">
      <c r="A22" s="14" t="s">
        <v>184</v>
      </c>
      <c r="B22" s="15">
        <v>2</v>
      </c>
      <c r="C22" s="14" t="s">
        <v>166</v>
      </c>
      <c r="D22" s="14" t="s">
        <v>37</v>
      </c>
      <c r="E22" s="14" t="s">
        <v>185</v>
      </c>
      <c r="F22" s="14" t="s">
        <v>167</v>
      </c>
      <c r="G22" s="16">
        <v>6283.89</v>
      </c>
      <c r="H22" s="16">
        <v>6283.89</v>
      </c>
      <c r="I22" s="16">
        <v>6297.39</v>
      </c>
      <c r="J22" s="17">
        <f t="shared" si="1"/>
        <v>13.5</v>
      </c>
      <c r="K22" s="17">
        <v>0.4</v>
      </c>
      <c r="L22" s="17">
        <v>0.75</v>
      </c>
      <c r="M22" s="18">
        <v>54.676519560094263</v>
      </c>
      <c r="N22" s="18">
        <v>54.655946111547522</v>
      </c>
      <c r="O22" s="18">
        <f>M22-L22</f>
        <v>53.926519560094263</v>
      </c>
      <c r="P22" s="18">
        <f>IF(N22="","",N22-L22)</f>
        <v>53.905946111547522</v>
      </c>
    </row>
    <row r="23" spans="1:16">
      <c r="A23" s="14" t="s">
        <v>194</v>
      </c>
      <c r="B23" s="15">
        <v>2</v>
      </c>
      <c r="C23" s="14" t="s">
        <v>166</v>
      </c>
      <c r="D23" s="14" t="s">
        <v>45</v>
      </c>
      <c r="E23" s="14" t="s">
        <v>195</v>
      </c>
      <c r="F23" s="14" t="s">
        <v>168</v>
      </c>
      <c r="G23" s="16">
        <v>8339.85</v>
      </c>
      <c r="H23" s="16">
        <v>8279.9979472260457</v>
      </c>
      <c r="I23" s="16">
        <v>8347.4225503470516</v>
      </c>
      <c r="J23" s="17">
        <f t="shared" si="1"/>
        <v>67.42460312100593</v>
      </c>
      <c r="K23" s="17">
        <v>0.4</v>
      </c>
      <c r="L23" s="17">
        <v>0.75</v>
      </c>
      <c r="M23" s="18">
        <v>52.552832037210464</v>
      </c>
      <c r="N23" s="18">
        <v>53.055182999372484</v>
      </c>
      <c r="O23" s="18">
        <f>M23-L23</f>
        <v>51.802832037210464</v>
      </c>
      <c r="P23" s="18">
        <f>IF(N23="","",N23-L23)</f>
        <v>52.305182999372484</v>
      </c>
    </row>
    <row r="24" spans="1:16">
      <c r="A24" s="14" t="s">
        <v>196</v>
      </c>
      <c r="B24" s="15">
        <v>2</v>
      </c>
      <c r="C24" s="14" t="s">
        <v>166</v>
      </c>
      <c r="D24" s="14" t="s">
        <v>53</v>
      </c>
      <c r="E24" s="14" t="s">
        <v>195</v>
      </c>
      <c r="F24" s="14" t="s">
        <v>170</v>
      </c>
      <c r="G24" s="16">
        <v>9942.9</v>
      </c>
      <c r="H24" s="16">
        <v>9942.9</v>
      </c>
      <c r="I24" s="16"/>
      <c r="J24" s="17" t="str">
        <f t="shared" si="1"/>
        <v/>
      </c>
      <c r="K24" s="17">
        <v>0.8</v>
      </c>
      <c r="L24" s="17">
        <v>0.95</v>
      </c>
      <c r="M24" s="18">
        <v>53.898431376965526</v>
      </c>
      <c r="N24" s="18"/>
      <c r="O24" s="18">
        <f>M24-L24</f>
        <v>52.948431376965523</v>
      </c>
      <c r="P24" s="18" t="str">
        <f>IF(N24="","",N24-L24)</f>
        <v/>
      </c>
    </row>
    <row r="25" spans="1:16">
      <c r="A25" s="14" t="s">
        <v>197</v>
      </c>
      <c r="B25" s="15">
        <v>2</v>
      </c>
      <c r="C25" s="14" t="s">
        <v>166</v>
      </c>
      <c r="D25" s="14" t="s">
        <v>61</v>
      </c>
      <c r="E25" s="14" t="s">
        <v>195</v>
      </c>
      <c r="F25" s="14" t="s">
        <v>135</v>
      </c>
      <c r="G25" s="16">
        <v>11625.23</v>
      </c>
      <c r="H25" s="16">
        <v>11613.80028039997</v>
      </c>
      <c r="I25" s="16">
        <v>11628.895961886505</v>
      </c>
      <c r="J25" s="17">
        <f t="shared" si="1"/>
        <v>15.095681486534886</v>
      </c>
      <c r="K25" s="17">
        <v>0.4</v>
      </c>
      <c r="L25" s="17">
        <v>0.55000000000000004</v>
      </c>
      <c r="M25" s="18">
        <v>51.99080815892637</v>
      </c>
      <c r="N25" s="18">
        <v>52.003740256838498</v>
      </c>
      <c r="O25" s="18">
        <f>M25-L25</f>
        <v>51.440808158926373</v>
      </c>
      <c r="P25" s="18">
        <f>IF(N25="","",N25-L25)</f>
        <v>51.4537402568385</v>
      </c>
    </row>
    <row r="26" spans="1:16">
      <c r="A26" s="14" t="s">
        <v>198</v>
      </c>
      <c r="B26" s="15">
        <v>2</v>
      </c>
      <c r="C26" s="14" t="s">
        <v>166</v>
      </c>
      <c r="D26" s="14" t="s">
        <v>199</v>
      </c>
      <c r="E26" s="14" t="s">
        <v>195</v>
      </c>
      <c r="F26" s="14" t="s">
        <v>141</v>
      </c>
      <c r="G26" s="16">
        <v>14064.93</v>
      </c>
      <c r="H26" s="16">
        <v>14054.379471587017</v>
      </c>
      <c r="I26" s="16">
        <v>14102.980318829883</v>
      </c>
      <c r="J26" s="17">
        <f t="shared" si="1"/>
        <v>48.600847242865711</v>
      </c>
      <c r="K26" s="17">
        <v>0.4</v>
      </c>
      <c r="L26" s="17">
        <v>0.75</v>
      </c>
      <c r="M26" s="18">
        <v>53.575393194893422</v>
      </c>
      <c r="N26" s="18">
        <v>53.376171238534155</v>
      </c>
      <c r="O26" s="18">
        <f>M26-L26</f>
        <v>52.825393194893422</v>
      </c>
      <c r="P26" s="18">
        <f>IF(N26="","",N26-L26)</f>
        <v>52.626171238534155</v>
      </c>
    </row>
    <row r="27" spans="1:16">
      <c r="A27" s="14" t="s">
        <v>200</v>
      </c>
      <c r="B27" s="15">
        <v>2</v>
      </c>
      <c r="C27" s="14" t="s">
        <v>166</v>
      </c>
      <c r="D27" s="14" t="s">
        <v>78</v>
      </c>
      <c r="E27" s="14" t="s">
        <v>195</v>
      </c>
      <c r="F27" s="14" t="s">
        <v>171</v>
      </c>
      <c r="G27" s="16">
        <v>14714.76</v>
      </c>
      <c r="H27" s="16">
        <v>14714.76</v>
      </c>
      <c r="I27" s="16"/>
      <c r="J27" s="17" t="str">
        <f t="shared" si="1"/>
        <v/>
      </c>
      <c r="K27" s="17">
        <v>0.4</v>
      </c>
      <c r="L27" s="17">
        <v>0.65</v>
      </c>
      <c r="M27" s="18">
        <v>53.182452027021604</v>
      </c>
      <c r="N27" s="18"/>
      <c r="O27" s="18">
        <f>M27-L27</f>
        <v>52.532452027021606</v>
      </c>
      <c r="P27" s="18" t="str">
        <f>IF(N27="","",N27-L27)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Selatan</vt:lpstr>
      <vt:lpstr>Utara</vt:lpstr>
      <vt:lpstr>Skenario 2</vt:lpstr>
      <vt:lpstr>Bangunan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Muchamad Aflah</cp:lastModifiedBy>
  <dcterms:modified xsi:type="dcterms:W3CDTF">2026-10-03T19:31:08Z</dcterms:modified>
</cp:coreProperties>
</file>